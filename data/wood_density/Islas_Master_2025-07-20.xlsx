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leland/Desktop/"/>
    </mc:Choice>
  </mc:AlternateContent>
  <xr:revisionPtr revIDLastSave="0" documentId="8_{6CD7EB3D-1E39-A847-908D-762134157F83}" xr6:coauthVersionLast="47" xr6:coauthVersionMax="47" xr10:uidLastSave="{00000000-0000-0000-0000-000000000000}"/>
  <bookViews>
    <workbookView xWindow="0" yWindow="760" windowWidth="24240" windowHeight="13140" tabRatio="218" xr2:uid="{00000000-000D-0000-FFFF-FFFF00000000}"/>
  </bookViews>
  <sheets>
    <sheet name="Data" sheetId="1" r:id="rId1"/>
    <sheet name="Notes" sheetId="2" r:id="rId2"/>
    <sheet name="Traits" sheetId="3" r:id="rId3"/>
  </sheets>
  <definedNames>
    <definedName name="_xlnm._FilterDatabase" localSheetId="0" hidden="1">Data!$A$1:$AM$751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H142" i="1" l="1"/>
  <c r="AH291" i="1"/>
  <c r="S263" i="1"/>
  <c r="S458" i="1"/>
  <c r="S528" i="1"/>
  <c r="S99" i="1"/>
  <c r="S574" i="1"/>
  <c r="AD4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tc={60DBBFF0-DB32-4D74-B724-08BB4D7E6E19}</author>
    <author>tc={C51C10DD-32F3-4B50-9F87-9C64F30C03BF}</author>
    <author>Federico</author>
  </authors>
  <commentList>
    <comment ref="I49" authorId="0" shapeId="0" xr:uid="{60DBBFF0-DB32-4D74-B724-08BB4D7E6E19}">
      <text>
        <t>[Threaded comment]
Your version of Excel allows you to read this threaded comment; however, any edits to it will get removed if the file is opened in a newer version of Excel. Learn more: https://go.microsoft.com/fwlink/?linkid=870924
Comment:
    Es un cambio para registrar la especie correcta, sobre todo del historico.</t>
      </text>
    </comment>
    <comment ref="H332" authorId="1" shapeId="0" xr:uid="{C51C10DD-32F3-4B50-9F87-9C64F30C03BF}">
      <text>
        <t>[Threaded comment]
Your version of Excel allows you to read this threaded comment; however, any edits to it will get removed if the file is opened in a newer version of Excel. Learn more: https://go.microsoft.com/fwlink/?linkid=870924
Comment:
    Es un cambio taxonómico ya consolidado</t>
      </text>
    </comment>
    <comment ref="I568" authorId="2" shapeId="0" xr:uid="{00000000-0006-0000-0000-000001000000}">
      <text>
        <r>
          <rPr>
            <b/>
            <sz val="9"/>
            <color indexed="81"/>
            <rFont val="Tahoma"/>
            <family val="2"/>
          </rPr>
          <t>Federico:</t>
        </r>
        <r>
          <rPr>
            <sz val="9"/>
            <color indexed="81"/>
            <rFont val="Tahoma"/>
            <family val="2"/>
          </rPr>
          <t xml:space="preserve">
PRU_BRA, debe cambiar a 
Prunus sp A. según el manual de plantas.
Es el nuevo nombre</t>
        </r>
      </text>
    </comment>
  </commentList>
</comments>
</file>

<file path=xl/sharedStrings.xml><?xml version="1.0" encoding="utf-8"?>
<sst xmlns="http://schemas.openxmlformats.org/spreadsheetml/2006/main" count="6835" uniqueCount="2800">
  <si>
    <t>spec</t>
  </si>
  <si>
    <t>Family</t>
  </si>
  <si>
    <t xml:space="preserve">Genus </t>
  </si>
  <si>
    <t>Specific Epithet</t>
  </si>
  <si>
    <t>Authority</t>
  </si>
  <si>
    <t>Last Update</t>
  </si>
  <si>
    <t>Date Updated</t>
  </si>
  <si>
    <t>Earlier Code</t>
  </si>
  <si>
    <t>Common &amp; Earlier names</t>
  </si>
  <si>
    <t>Description</t>
  </si>
  <si>
    <t>Notes</t>
  </si>
  <si>
    <t>grow_form</t>
  </si>
  <si>
    <t>disp_mode</t>
  </si>
  <si>
    <t>succ_stage</t>
  </si>
  <si>
    <t>seed_size</t>
  </si>
  <si>
    <t>Seed_ID_no</t>
  </si>
  <si>
    <t>In Seed Rain? (13JUL18)</t>
  </si>
  <si>
    <t>ID # (veg)</t>
  </si>
  <si>
    <t>Specific_leaf_area_from_lit (mm^2/mg)</t>
  </si>
  <si>
    <t>SLA_source</t>
  </si>
  <si>
    <t>SLA_measured_at_LC (mm^2/mg)</t>
  </si>
  <si>
    <t>LMA_measured_at_LC (g/m^2)</t>
  </si>
  <si>
    <t>SLA_N</t>
  </si>
  <si>
    <t>Dry_seed_mass_from_lit (mg)</t>
  </si>
  <si>
    <t>Dry_seed_mass_source</t>
  </si>
  <si>
    <t>Dry_seed_mass_measured_at_LC (mg)</t>
  </si>
  <si>
    <t>Dry_seed_mass_N</t>
  </si>
  <si>
    <t>Wet_seed_mass_from_lit (mg)</t>
  </si>
  <si>
    <t>Wet_seed_mass_source</t>
  </si>
  <si>
    <t>Wet_seed_mass_measured_at_LC (mg)</t>
  </si>
  <si>
    <t>Wet_seed_mass_N</t>
  </si>
  <si>
    <t>Seed_length_measured_at_LC (mm)</t>
  </si>
  <si>
    <t>Seed_width_measured_at_LC (mm)</t>
  </si>
  <si>
    <t>Wood_density_from_lit (g/cm^3)</t>
  </si>
  <si>
    <t>Density_source</t>
  </si>
  <si>
    <t>Wood_density_measured_at_LC (g/cm^3)</t>
  </si>
  <si>
    <t>Density_N</t>
  </si>
  <si>
    <t>HYP_PHY</t>
  </si>
  <si>
    <t>Acanthaceae</t>
  </si>
  <si>
    <t>Hypoestes</t>
  </si>
  <si>
    <t>phyllostachya</t>
  </si>
  <si>
    <t xml:space="preserve">Baker              </t>
  </si>
  <si>
    <t>Hippoeste</t>
  </si>
  <si>
    <t>pink spotted plant, escaped from horticulture</t>
  </si>
  <si>
    <t>Forb</t>
  </si>
  <si>
    <t>EXPL</t>
  </si>
  <si>
    <t>Early</t>
  </si>
  <si>
    <t>No kew</t>
  </si>
  <si>
    <t>LEP_ALO</t>
  </si>
  <si>
    <t>Lepidagathis</t>
  </si>
  <si>
    <t>alopecuroidea</t>
  </si>
  <si>
    <t xml:space="preserve">(Vahl) R.  Br.  ex  Griseb.       </t>
  </si>
  <si>
    <t>Tel alo</t>
  </si>
  <si>
    <t>Acanthaceae 1; Teliostachya alopecuroidea (Vahl) Nees</t>
  </si>
  <si>
    <t>GRAV</t>
  </si>
  <si>
    <t>Both</t>
  </si>
  <si>
    <t>MEN_BRE</t>
  </si>
  <si>
    <t>Mendoncia</t>
  </si>
  <si>
    <t>brenesii</t>
  </si>
  <si>
    <t xml:space="preserve">Standl.              </t>
  </si>
  <si>
    <t>Men gra</t>
  </si>
  <si>
    <t>Medoncia gracilis</t>
  </si>
  <si>
    <t>FBO corrected name in Aug 2016</t>
  </si>
  <si>
    <t>Vine</t>
  </si>
  <si>
    <t>ZOO</t>
  </si>
  <si>
    <t>Late</t>
  </si>
  <si>
    <t>Wright</t>
  </si>
  <si>
    <t>MEN_COS</t>
  </si>
  <si>
    <t>costaricana </t>
  </si>
  <si>
    <t xml:space="preserve">Oerst.              </t>
  </si>
  <si>
    <t>MEN_RET</t>
  </si>
  <si>
    <t>retusa</t>
  </si>
  <si>
    <t xml:space="preserve">Turrill              </t>
  </si>
  <si>
    <t>Seed only</t>
  </si>
  <si>
    <t>Y</t>
  </si>
  <si>
    <t>POI_MAC</t>
  </si>
  <si>
    <t>Poikilacanthus</t>
  </si>
  <si>
    <t>macranthus</t>
  </si>
  <si>
    <t xml:space="preserve">Lindau              </t>
  </si>
  <si>
    <t>opuesta hojo roja, opuesta morado</t>
  </si>
  <si>
    <t>LL - Pa - Fede - 2007 - no ID</t>
  </si>
  <si>
    <t>Shrub</t>
  </si>
  <si>
    <t>RUE_BLE</t>
  </si>
  <si>
    <t>Ruellia</t>
  </si>
  <si>
    <t>blechum</t>
  </si>
  <si>
    <t xml:space="preserve">L.              </t>
  </si>
  <si>
    <t>Rue cos, Ble pyr</t>
  </si>
  <si>
    <r>
      <t xml:space="preserve">Blechum pyramidatum </t>
    </r>
    <r>
      <rPr>
        <sz val="11"/>
        <rFont val="Calibri"/>
        <family val="2"/>
        <charset val="1"/>
      </rPr>
      <t>(Lam.) Urb. ,Ruellia costaricensis (Oerst.) E.A. Tripp &amp; McDade</t>
    </r>
  </si>
  <si>
    <t>Mayfield</t>
  </si>
  <si>
    <t>SAU_MON</t>
  </si>
  <si>
    <t>Actinidiaceae</t>
  </si>
  <si>
    <t>Saurauia</t>
  </si>
  <si>
    <t>montana</t>
  </si>
  <si>
    <t xml:space="preserve">Seem.              </t>
  </si>
  <si>
    <t>UT</t>
  </si>
  <si>
    <t>Boukili-LC</t>
  </si>
  <si>
    <t>SAU_YAS</t>
  </si>
  <si>
    <t>yasicae</t>
  </si>
  <si>
    <t xml:space="preserve">Loes.              </t>
  </si>
  <si>
    <t>CT</t>
  </si>
  <si>
    <t>Kew (mexico)</t>
  </si>
  <si>
    <t>VIB_COS</t>
  </si>
  <si>
    <t>Adoxaceae</t>
  </si>
  <si>
    <t>Viburnum</t>
  </si>
  <si>
    <t>costaricanum</t>
  </si>
  <si>
    <t xml:space="preserve">(Oerst.) Hemsl.             </t>
  </si>
  <si>
    <r>
      <t xml:space="preserve">Vernonia patens </t>
    </r>
    <r>
      <rPr>
        <sz val="11"/>
        <rFont val="Calibri"/>
        <family val="2"/>
        <charset val="1"/>
      </rPr>
      <t>Kunth</t>
    </r>
  </si>
  <si>
    <t>WDD database - South American congener - ref 48</t>
  </si>
  <si>
    <t>ACH_ASP</t>
  </si>
  <si>
    <t>Amaranthaceae</t>
  </si>
  <si>
    <t>Achyranthes</t>
  </si>
  <si>
    <t>aspera</t>
  </si>
  <si>
    <t>ECTO</t>
  </si>
  <si>
    <t>CHA_ALT</t>
  </si>
  <si>
    <t>Chamissoa</t>
  </si>
  <si>
    <t>altissima</t>
  </si>
  <si>
    <t xml:space="preserve">(Jacq.) Kunth              </t>
  </si>
  <si>
    <t>Liana</t>
  </si>
  <si>
    <t>CYA_PRO</t>
  </si>
  <si>
    <t>Cyathula</t>
  </si>
  <si>
    <t>prostrata</t>
  </si>
  <si>
    <t xml:space="preserve">(L.) Blume             </t>
  </si>
  <si>
    <t>otra Acanthaceae, San Gabriel</t>
  </si>
  <si>
    <t>IRE_DIF</t>
  </si>
  <si>
    <t>Iresine</t>
  </si>
  <si>
    <t>diffusa</t>
  </si>
  <si>
    <t xml:space="preserve">Humb. &amp;  Bonpl.  ex  Willd.       </t>
  </si>
  <si>
    <t>Amaranthaceae tallo rojo</t>
  </si>
  <si>
    <t>red stem, shiny leaves</t>
  </si>
  <si>
    <t>LL 2008, we thought that Amaranthaceae con tallo rojo was different but it was Ire dif</t>
  </si>
  <si>
    <t>MAU_HET</t>
  </si>
  <si>
    <t>Anacardiaceae</t>
  </si>
  <si>
    <t>Mauria</t>
  </si>
  <si>
    <t>heterophylla</t>
  </si>
  <si>
    <t xml:space="preserve">Kunth              </t>
  </si>
  <si>
    <t>MAN_IND</t>
  </si>
  <si>
    <t>Manguifera</t>
  </si>
  <si>
    <t>indica</t>
  </si>
  <si>
    <t>L.</t>
  </si>
  <si>
    <t>MOS_JAM</t>
  </si>
  <si>
    <t>Mosquitoxylum</t>
  </si>
  <si>
    <t>jamaicense </t>
  </si>
  <si>
    <t>Krug &amp; Urb.</t>
  </si>
  <si>
    <t>TAP_GUI</t>
  </si>
  <si>
    <t>Tapirira</t>
  </si>
  <si>
    <t>guianensis</t>
  </si>
  <si>
    <t xml:space="preserve">Aubl.              </t>
  </si>
  <si>
    <t>Boukili-LS</t>
  </si>
  <si>
    <t>Wright (.457 from Chave)</t>
  </si>
  <si>
    <t>TAP_MEX</t>
  </si>
  <si>
    <t>mexicana</t>
  </si>
  <si>
    <t xml:space="preserve">Marchand              </t>
  </si>
  <si>
    <t>TOX_STR</t>
  </si>
  <si>
    <t>Toxicodendron</t>
  </si>
  <si>
    <t>striatum</t>
  </si>
  <si>
    <t xml:space="preserve">(Ruiz &amp;  Pav.)  Kuntze         </t>
  </si>
  <si>
    <t>Hinchador</t>
  </si>
  <si>
    <t>ANN_PIT</t>
  </si>
  <si>
    <t>Annonaceae</t>
  </si>
  <si>
    <t>Annona</t>
  </si>
  <si>
    <t>pittierii</t>
  </si>
  <si>
    <t xml:space="preserve">Donn. Sm.             </t>
  </si>
  <si>
    <t>DES_OER</t>
  </si>
  <si>
    <t>Desmopsis</t>
  </si>
  <si>
    <t>oerstedii</t>
  </si>
  <si>
    <t xml:space="preserve">Saff.              </t>
  </si>
  <si>
    <t>GUA_AMP</t>
  </si>
  <si>
    <t>Guatteria</t>
  </si>
  <si>
    <t>amplifolia</t>
  </si>
  <si>
    <t xml:space="preserve">Triana &amp;  Planch.           </t>
  </si>
  <si>
    <t>Gua dio</t>
  </si>
  <si>
    <t>Wright (.511 from Chave)</t>
  </si>
  <si>
    <t>GUA_DOL</t>
  </si>
  <si>
    <t>Guatteria </t>
  </si>
  <si>
    <t>dolichopoda </t>
  </si>
  <si>
    <t>OM - 2010</t>
  </si>
  <si>
    <t>GUA_LUC</t>
  </si>
  <si>
    <t>lucens</t>
  </si>
  <si>
    <t>Standl.</t>
  </si>
  <si>
    <t>HYD_BOW</t>
  </si>
  <si>
    <t>Apiaceae</t>
  </si>
  <si>
    <t>Hydrocotyle</t>
  </si>
  <si>
    <t>bowlesioides</t>
  </si>
  <si>
    <t xml:space="preserve">Mathias &amp;  Constance           </t>
  </si>
  <si>
    <t>small, star shaped leaves</t>
  </si>
  <si>
    <t>less common</t>
  </si>
  <si>
    <t>HYDROCOTYLE</t>
  </si>
  <si>
    <t>sp.</t>
  </si>
  <si>
    <t xml:space="preserve">              </t>
  </si>
  <si>
    <t>Hydrocot, Hyd nub</t>
  </si>
  <si>
    <t>ID from before 2007 but we're not sure on this, Karen calling it Hyd nubigena and there is no such species</t>
  </si>
  <si>
    <t>HYD_UMB</t>
  </si>
  <si>
    <t>umbellata</t>
  </si>
  <si>
    <t>in 2007 Hydrocotyle was this</t>
  </si>
  <si>
    <t>SAL_LIB</t>
  </si>
  <si>
    <t>Sanicula</t>
  </si>
  <si>
    <t>liberta</t>
  </si>
  <si>
    <t xml:space="preserve">Cham. &amp;  Schltdl.           </t>
  </si>
  <si>
    <t>SPA_PAN</t>
  </si>
  <si>
    <t>Spananthe</t>
  </si>
  <si>
    <t>paniculata</t>
  </si>
  <si>
    <t xml:space="preserve">Jacq.              </t>
  </si>
  <si>
    <t>Spa umb</t>
  </si>
  <si>
    <t>ASC_CUR</t>
  </si>
  <si>
    <t>Apocynaceae</t>
  </si>
  <si>
    <t>Asclepias</t>
  </si>
  <si>
    <t>curassavica</t>
  </si>
  <si>
    <t>WIND</t>
  </si>
  <si>
    <t>NA</t>
  </si>
  <si>
    <t>GON_EDU</t>
  </si>
  <si>
    <t>Gonolobus</t>
  </si>
  <si>
    <t>edulis </t>
  </si>
  <si>
    <t xml:space="preserve">Hemsl.              </t>
  </si>
  <si>
    <t>MAN_HIR</t>
  </si>
  <si>
    <t>Mandevilla</t>
  </si>
  <si>
    <t>hirsuta</t>
  </si>
  <si>
    <t xml:space="preserve">(Rich.) K.  Schum.           </t>
  </si>
  <si>
    <t>JG</t>
  </si>
  <si>
    <t>MAR_MAC</t>
  </si>
  <si>
    <t>Marsdenia</t>
  </si>
  <si>
    <t>macrophylla </t>
  </si>
  <si>
    <t xml:space="preserve">(Humb. &amp; Bonpl.  ex  Schult.)  E. Fourn.     </t>
  </si>
  <si>
    <t>ORT_GLA</t>
  </si>
  <si>
    <t>Orthosia</t>
  </si>
  <si>
    <t>glaberrima</t>
  </si>
  <si>
    <t xml:space="preserve">(Woodson) W.D.  Stevens           </t>
  </si>
  <si>
    <t>Cyn gla</t>
  </si>
  <si>
    <r>
      <t>Cynanchum glaberrimum</t>
    </r>
    <r>
      <rPr>
        <sz val="11"/>
        <color rgb="FF000000"/>
        <rFont val="Calibri"/>
        <family val="2"/>
        <charset val="1"/>
      </rPr>
      <t xml:space="preserve"> (Woodson) L.O. Williams</t>
    </r>
  </si>
  <si>
    <t>opposite teardrop vine</t>
  </si>
  <si>
    <t>GN</t>
  </si>
  <si>
    <t>PRE_POR</t>
  </si>
  <si>
    <t>Prestonia</t>
  </si>
  <si>
    <t>portobellensis</t>
  </si>
  <si>
    <t xml:space="preserve">(Beurl.) Woodson             </t>
  </si>
  <si>
    <t>PRE_COR</t>
  </si>
  <si>
    <t>RAU_APH</t>
  </si>
  <si>
    <t>Rauvolfia</t>
  </si>
  <si>
    <t>aphlebia</t>
  </si>
  <si>
    <t xml:space="preserve">(Standl.) A.H. Gentry           </t>
  </si>
  <si>
    <t>STE_ALF</t>
  </si>
  <si>
    <t>Stemmadenia</t>
  </si>
  <si>
    <t>alfaroi</t>
  </si>
  <si>
    <t xml:space="preserve">(Donn. Sm.)  Woodson           </t>
  </si>
  <si>
    <t>yellow sticky fruit</t>
  </si>
  <si>
    <t>TAB_AMY</t>
  </si>
  <si>
    <t>Tabernaemontana</t>
  </si>
  <si>
    <t>amygdalifolia</t>
  </si>
  <si>
    <t>TAS_OBO</t>
  </si>
  <si>
    <t>Tassadia</t>
  </si>
  <si>
    <t>obovata</t>
  </si>
  <si>
    <t xml:space="preserve">Decne.              </t>
  </si>
  <si>
    <t>Tas obv</t>
  </si>
  <si>
    <t>SG; MM</t>
  </si>
  <si>
    <t>ILE_MAX</t>
  </si>
  <si>
    <t>Aquifoliaceae</t>
  </si>
  <si>
    <t>Ilex</t>
  </si>
  <si>
    <t>maxima </t>
  </si>
  <si>
    <t xml:space="preserve">W.J. Hahn              </t>
  </si>
  <si>
    <t>ANT_DUR</t>
  </si>
  <si>
    <t>Araceae</t>
  </si>
  <si>
    <t>Anthurium</t>
  </si>
  <si>
    <t>durandii </t>
  </si>
  <si>
    <t xml:space="preserve">Engl.              </t>
  </si>
  <si>
    <t>ANT_HOF</t>
  </si>
  <si>
    <t>hoffmannii</t>
  </si>
  <si>
    <t xml:space="preserve">Schott              </t>
  </si>
  <si>
    <t>ANT_LAN</t>
  </si>
  <si>
    <t>lancifolium</t>
  </si>
  <si>
    <t>ANT_OBT</t>
  </si>
  <si>
    <t>obtusilobum</t>
  </si>
  <si>
    <t>ANT_OER</t>
  </si>
  <si>
    <t>oerstedianum</t>
  </si>
  <si>
    <t>COL_ESC</t>
  </si>
  <si>
    <t>Colocasia</t>
  </si>
  <si>
    <t>esculenta</t>
  </si>
  <si>
    <t xml:space="preserve">(L.) Schott             </t>
  </si>
  <si>
    <t>MON_DEL</t>
  </si>
  <si>
    <t>Monstera</t>
  </si>
  <si>
    <t xml:space="preserve">Liebm.              </t>
  </si>
  <si>
    <t>Epiphyte</t>
  </si>
  <si>
    <t>MON_DIS</t>
  </si>
  <si>
    <t>dissecta</t>
  </si>
  <si>
    <t xml:space="preserve">(Schott) Croat &amp;  Grayum           </t>
  </si>
  <si>
    <t>MON_TEN</t>
  </si>
  <si>
    <t>tenuis</t>
  </si>
  <si>
    <t xml:space="preserve">K. Koch              </t>
  </si>
  <si>
    <t>PHI_AUR</t>
  </si>
  <si>
    <t>Philodendron</t>
  </si>
  <si>
    <t>aurantiifolium </t>
  </si>
  <si>
    <t>PHI_GRA</t>
  </si>
  <si>
    <t>grandipes</t>
  </si>
  <si>
    <t xml:space="preserve">K. Krause              </t>
  </si>
  <si>
    <t>PHI_PUR</t>
  </si>
  <si>
    <t>purpureoviride</t>
  </si>
  <si>
    <t>AC</t>
  </si>
  <si>
    <t>PHILODENDRON</t>
  </si>
  <si>
    <t>Phylodendrone sp.</t>
  </si>
  <si>
    <t>PHI_STA</t>
  </si>
  <si>
    <t>standleyi</t>
  </si>
  <si>
    <t xml:space="preserve"> Grayum              </t>
  </si>
  <si>
    <t>PHI_VER</t>
  </si>
  <si>
    <t>verrucosum</t>
  </si>
  <si>
    <t xml:space="preserve">L. Mathieu  ex  Schott         </t>
  </si>
  <si>
    <t>SP</t>
  </si>
  <si>
    <t>RHO_WEN</t>
  </si>
  <si>
    <t>Rhodospatha</t>
  </si>
  <si>
    <t>wendlandii</t>
  </si>
  <si>
    <t xml:space="preserve"> Schott              </t>
  </si>
  <si>
    <t>DEN_ALB</t>
  </si>
  <si>
    <t>Araliaceae</t>
  </si>
  <si>
    <t>Dendropanax</t>
  </si>
  <si>
    <t>DEN_ARB</t>
  </si>
  <si>
    <t>arboreus</t>
  </si>
  <si>
    <t xml:space="preserve">(L.) Decne.  &amp;  Planch.         </t>
  </si>
  <si>
    <t>Boukili-LS (Wright has)</t>
  </si>
  <si>
    <t>Kew</t>
  </si>
  <si>
    <t>Wright (.420 from Chave)</t>
  </si>
  <si>
    <t>DEN_GLO</t>
  </si>
  <si>
    <t>globosus</t>
  </si>
  <si>
    <t>M.J. Cannon &amp; Cannon</t>
  </si>
  <si>
    <t>DEN_GON</t>
  </si>
  <si>
    <t>gonatopodus </t>
  </si>
  <si>
    <t>(Donn. Sm.) A.C. Sm.</t>
  </si>
  <si>
    <t>DEN_QUE</t>
  </si>
  <si>
    <t>querceti</t>
  </si>
  <si>
    <t>Donn. Sm.</t>
  </si>
  <si>
    <t>DEN_SES</t>
  </si>
  <si>
    <t>sessiliflorus</t>
  </si>
  <si>
    <t xml:space="preserve">(Standl. &amp;  A.C.  Sm.)  A.C.  Sm.     </t>
  </si>
  <si>
    <t>MM - 2011</t>
  </si>
  <si>
    <t>estimate based on many congeners in database</t>
  </si>
  <si>
    <t>ORE_STR</t>
  </si>
  <si>
    <t>Oreopanax</t>
  </si>
  <si>
    <t>striatus </t>
  </si>
  <si>
    <t>SCH_ROD</t>
  </si>
  <si>
    <t>Schefflera </t>
  </si>
  <si>
    <t>rodriguesiana </t>
  </si>
  <si>
    <t>Frodin</t>
  </si>
  <si>
    <t>BAC_GLA</t>
  </si>
  <si>
    <t>Arecaceae</t>
  </si>
  <si>
    <t>Bactris</t>
  </si>
  <si>
    <t>glandulosa </t>
  </si>
  <si>
    <t>UP</t>
  </si>
  <si>
    <t>BAC_GAS</t>
  </si>
  <si>
    <t>Bactris </t>
  </si>
  <si>
    <t>gasipaes </t>
  </si>
  <si>
    <t>Kunth </t>
  </si>
  <si>
    <t>CP</t>
  </si>
  <si>
    <t>CAR_MAX</t>
  </si>
  <si>
    <t>Caryota</t>
  </si>
  <si>
    <t xml:space="preserve">maxima </t>
  </si>
  <si>
    <t xml:space="preserve">Blume ex Mart.              </t>
  </si>
  <si>
    <t>CAR_URE</t>
  </si>
  <si>
    <t>urens</t>
  </si>
  <si>
    <t>CHA_COS</t>
  </si>
  <si>
    <t>Chamaedorea</t>
  </si>
  <si>
    <t>costaricana</t>
  </si>
  <si>
    <t>CHA_CRU</t>
  </si>
  <si>
    <t>crucensis </t>
  </si>
  <si>
    <t xml:space="preserve">Hodel              </t>
  </si>
  <si>
    <t>CHA_PIN</t>
  </si>
  <si>
    <t>pinnatifrons</t>
  </si>
  <si>
    <t xml:space="preserve">(Jacq.) Oerst.             </t>
  </si>
  <si>
    <t>CHAMAEDORIA</t>
  </si>
  <si>
    <t>spp.</t>
  </si>
  <si>
    <t>CHA_TEP</t>
  </si>
  <si>
    <t>tepejilote </t>
  </si>
  <si>
    <t>ELA_GUI</t>
  </si>
  <si>
    <t>Elaeis </t>
  </si>
  <si>
    <t>guineensis</t>
  </si>
  <si>
    <t>Jacq.</t>
  </si>
  <si>
    <t>EUT_PRE</t>
  </si>
  <si>
    <t>Euterpe</t>
  </si>
  <si>
    <t>precatoria</t>
  </si>
  <si>
    <t xml:space="preserve">Mart.              </t>
  </si>
  <si>
    <t>Mayfield (TRY has)</t>
  </si>
  <si>
    <t>Wright (.388 from Chave)</t>
  </si>
  <si>
    <t>GEO_CUN</t>
  </si>
  <si>
    <t>Geonoma</t>
  </si>
  <si>
    <t>cuneata </t>
  </si>
  <si>
    <t xml:space="preserve">H. Wendl. ex  Spruce           </t>
  </si>
  <si>
    <t>Reich (N=1)</t>
  </si>
  <si>
    <t>GEO_INT</t>
  </si>
  <si>
    <t>interrupta </t>
  </si>
  <si>
    <t xml:space="preserve">(Ruiz &amp; Pav.)  Mart.           </t>
  </si>
  <si>
    <t>GEO_OXY</t>
  </si>
  <si>
    <t>oxycarpa</t>
  </si>
  <si>
    <t>Mart.</t>
  </si>
  <si>
    <t>HYO_ELE</t>
  </si>
  <si>
    <t>Hyospathe</t>
  </si>
  <si>
    <t>elegans </t>
  </si>
  <si>
    <t>OEN_MAP</t>
  </si>
  <si>
    <t>Oenocarpus</t>
  </si>
  <si>
    <t>mapora</t>
  </si>
  <si>
    <t xml:space="preserve">H. Karst.              </t>
  </si>
  <si>
    <t>Messier</t>
  </si>
  <si>
    <t>PINANGA</t>
  </si>
  <si>
    <t>Pinanga</t>
  </si>
  <si>
    <t>SYN_WAR</t>
  </si>
  <si>
    <t>Synechanthus</t>
  </si>
  <si>
    <t>warscewiczianus</t>
  </si>
  <si>
    <t>H. Wendl.</t>
  </si>
  <si>
    <t>AGE_CON</t>
  </si>
  <si>
    <t>Asteraceae</t>
  </si>
  <si>
    <t>Ageratum</t>
  </si>
  <si>
    <t>conyzoides</t>
  </si>
  <si>
    <t>Lamiaceae 1, fuzzy Aster, 2004 Eupatorium</t>
  </si>
  <si>
    <t>opposite leaves, pubescent, purple flowers</t>
  </si>
  <si>
    <t>Kew (Air dry, 7 seed sets)</t>
  </si>
  <si>
    <t>BAC_PED</t>
  </si>
  <si>
    <t>Baccharis</t>
  </si>
  <si>
    <t>pedunculata</t>
  </si>
  <si>
    <t xml:space="preserve">(Mill.) Cabrera             </t>
  </si>
  <si>
    <t>BR</t>
  </si>
  <si>
    <t>Wright (N=1)</t>
  </si>
  <si>
    <t>BACCHARIS</t>
  </si>
  <si>
    <t>Pseudobaccharis</t>
  </si>
  <si>
    <t>BAC_TRI</t>
  </si>
  <si>
    <t>trinervis</t>
  </si>
  <si>
    <t xml:space="preserve">Pers.              </t>
  </si>
  <si>
    <t>Melastome 2</t>
  </si>
  <si>
    <t>EC - 2006</t>
  </si>
  <si>
    <t>No Kew</t>
  </si>
  <si>
    <t>BID_PIL</t>
  </si>
  <si>
    <t>Bidens</t>
  </si>
  <si>
    <t>pilosa</t>
  </si>
  <si>
    <t>yellow and white aster</t>
  </si>
  <si>
    <t>trifoliate leaves</t>
  </si>
  <si>
    <t>muriseco, herb</t>
  </si>
  <si>
    <t>Kew (moisture content not clear)</t>
  </si>
  <si>
    <t>BID_REP</t>
  </si>
  <si>
    <t>reptans</t>
  </si>
  <si>
    <t xml:space="preserve">(L.) G.  Don           </t>
  </si>
  <si>
    <t>EC - 2009 - Fede, escandente, this is the vast majority of what is in our plots, in particular in Ec</t>
  </si>
  <si>
    <t>BIDENS</t>
  </si>
  <si>
    <t>CAL_URT</t>
  </si>
  <si>
    <t>Calea</t>
  </si>
  <si>
    <t>urticifolia</t>
  </si>
  <si>
    <t xml:space="preserve">(Mill.) DC.             </t>
  </si>
  <si>
    <t>peludo morado, Hetercondylus peludo</t>
  </si>
  <si>
    <t>opposite, shiny red leaves</t>
  </si>
  <si>
    <t>collected this several times in 2008 thinking that peludo morado was differen't but all Calea</t>
  </si>
  <si>
    <t>462, 561</t>
  </si>
  <si>
    <t>Kew (seed+pericarp)</t>
  </si>
  <si>
    <t>CHA_NUT</t>
  </si>
  <si>
    <t>Chaptalia</t>
  </si>
  <si>
    <t>nutans</t>
  </si>
  <si>
    <t xml:space="preserve">(L.) Pol.             </t>
  </si>
  <si>
    <t>CHR_LAE</t>
  </si>
  <si>
    <t>Chromolaena</t>
  </si>
  <si>
    <t>laevigata</t>
  </si>
  <si>
    <t xml:space="preserve">(Lam.) R.M.  King  &amp;  H.  Rob.     </t>
  </si>
  <si>
    <t>Mikania 1</t>
  </si>
  <si>
    <t>CHR_ODO</t>
  </si>
  <si>
    <t>odorata</t>
  </si>
  <si>
    <t xml:space="preserve">(L.) R.M.  King  &amp;  H.  Rob.     </t>
  </si>
  <si>
    <t>CLI_ANC</t>
  </si>
  <si>
    <t>Clibadium</t>
  </si>
  <si>
    <t>anceps</t>
  </si>
  <si>
    <t xml:space="preserve">Greenm.              </t>
  </si>
  <si>
    <t>HB</t>
  </si>
  <si>
    <t>CLI_SUR</t>
  </si>
  <si>
    <t>surinamense</t>
  </si>
  <si>
    <t>CON_BON</t>
  </si>
  <si>
    <t>Conyza</t>
  </si>
  <si>
    <t>bonariensis</t>
  </si>
  <si>
    <t xml:space="preserve">(L.) Cronquist             </t>
  </si>
  <si>
    <t>taller than canadensis</t>
  </si>
  <si>
    <t>Kleyer (TRY)</t>
  </si>
  <si>
    <t>CON_CAN</t>
  </si>
  <si>
    <t>canadensis</t>
  </si>
  <si>
    <t>Mean from TRY values (Garnier, Kleyer)</t>
  </si>
  <si>
    <t>CON_LAE</t>
  </si>
  <si>
    <t xml:space="preserve">(Rich.) Pruski             </t>
  </si>
  <si>
    <t>Yellow aster 1 and 2</t>
  </si>
  <si>
    <t>CRA_CRE</t>
  </si>
  <si>
    <t>Crassocephalum</t>
  </si>
  <si>
    <t>crepidioides</t>
  </si>
  <si>
    <t>(Benth.) S. Moore</t>
  </si>
  <si>
    <t>Herb</t>
  </si>
  <si>
    <t>ECL_PRO</t>
  </si>
  <si>
    <t>Eclipta</t>
  </si>
  <si>
    <t>prostrata </t>
  </si>
  <si>
    <t xml:space="preserve">(L.) L.              </t>
  </si>
  <si>
    <t>EIR_BRA</t>
  </si>
  <si>
    <t>Eirmocephala</t>
  </si>
  <si>
    <t>brachiata</t>
  </si>
  <si>
    <t xml:space="preserve">Benth.              </t>
  </si>
  <si>
    <t>Ver_bra</t>
  </si>
  <si>
    <t>like vernonia but wider leaves</t>
  </si>
  <si>
    <t>ELE_MOL</t>
  </si>
  <si>
    <t>Elephantopus</t>
  </si>
  <si>
    <t>mollis</t>
  </si>
  <si>
    <t xml:space="preserve">H. B.  K.           </t>
  </si>
  <si>
    <t>Pse_spi</t>
  </si>
  <si>
    <t>sometimes confused with Pseudelephantopus</t>
  </si>
  <si>
    <t>EMI_FOS</t>
  </si>
  <si>
    <t>Emilia</t>
  </si>
  <si>
    <t>fosbergii</t>
  </si>
  <si>
    <t xml:space="preserve">Nicolson              </t>
  </si>
  <si>
    <t>Pink aster 1 and 2</t>
  </si>
  <si>
    <t>ERE_HIE</t>
  </si>
  <si>
    <t>Erechtites</t>
  </si>
  <si>
    <t>hieraciifolius</t>
  </si>
  <si>
    <t xml:space="preserve">(L.) Raf.  ex  DC.         </t>
  </si>
  <si>
    <t>Fede</t>
  </si>
  <si>
    <t>ERE_VAL</t>
  </si>
  <si>
    <t>valerianifolia</t>
  </si>
  <si>
    <t xml:space="preserve">(Link ex  Spreng.)  DC.         </t>
  </si>
  <si>
    <t>Aster 57</t>
  </si>
  <si>
    <t>highly serrate leaves</t>
  </si>
  <si>
    <t>FLEISCHMANNIA</t>
  </si>
  <si>
    <t>Fleischmannia</t>
  </si>
  <si>
    <t>GAL_QUA</t>
  </si>
  <si>
    <t>Galinsoga</t>
  </si>
  <si>
    <t>quadriradiata</t>
  </si>
  <si>
    <t xml:space="preserve">Ruiz &amp;  Pav.           </t>
  </si>
  <si>
    <t>LL - 2007</t>
  </si>
  <si>
    <t>HET_VIT</t>
  </si>
  <si>
    <t>Heterocondylus</t>
  </si>
  <si>
    <t>vitalbae</t>
  </si>
  <si>
    <t xml:space="preserve">(D.C.) King  &amp;  H.  Robins       </t>
  </si>
  <si>
    <t>common opposite leave aster vine, glabrous</t>
  </si>
  <si>
    <t>JAE_HIR</t>
  </si>
  <si>
    <t>Jaegeria</t>
  </si>
  <si>
    <t>hirta</t>
  </si>
  <si>
    <t xml:space="preserve">(Lag.) Less.             </t>
  </si>
  <si>
    <t>KOA_HYL</t>
  </si>
  <si>
    <t>Koanophyllon</t>
  </si>
  <si>
    <t>hylonononum</t>
  </si>
  <si>
    <t>KOA_PIT</t>
  </si>
  <si>
    <t>pittieri</t>
  </si>
  <si>
    <t xml:space="preserve">(Klatt) R.M.  King  &amp;  H.  Robinson     </t>
  </si>
  <si>
    <t>(Koanopyllum)</t>
  </si>
  <si>
    <t>seedling at LL, serrate leaves</t>
  </si>
  <si>
    <t>LIA_BOU</t>
  </si>
  <si>
    <t>Liabum</t>
  </si>
  <si>
    <t>bourgeaui</t>
  </si>
  <si>
    <t xml:space="preserve">Hieron.              </t>
  </si>
  <si>
    <t>tomentose Aster</t>
  </si>
  <si>
    <t>white underside of leaf, clasping leaf bases</t>
  </si>
  <si>
    <t>MEL_COS</t>
  </si>
  <si>
    <t>Melampodium</t>
  </si>
  <si>
    <t>costaricense</t>
  </si>
  <si>
    <t xml:space="preserve">Stuessy              </t>
  </si>
  <si>
    <t>MEL_NIV</t>
  </si>
  <si>
    <t>Melanthera</t>
  </si>
  <si>
    <t>nivea</t>
  </si>
  <si>
    <t xml:space="preserve">(L.) Small             </t>
  </si>
  <si>
    <t>purple splotched stem, opposite leaves</t>
  </si>
  <si>
    <t>MIK_BAN</t>
  </si>
  <si>
    <t>Mikania</t>
  </si>
  <si>
    <t>banisteriae</t>
  </si>
  <si>
    <t xml:space="preserve">DC.              </t>
  </si>
  <si>
    <t>MIK_GUA</t>
  </si>
  <si>
    <t>guaco</t>
  </si>
  <si>
    <t xml:space="preserve">Bonpl.              </t>
  </si>
  <si>
    <t>bejuco, hojas oppuestas morado y verde, morado abajo</t>
  </si>
  <si>
    <t>MIK_LEI</t>
  </si>
  <si>
    <t>leiostachya</t>
  </si>
  <si>
    <t>MM; biggish leaves no pubescence</t>
  </si>
  <si>
    <t>MIK_MIC</t>
  </si>
  <si>
    <t>micrantha</t>
  </si>
  <si>
    <t>Mik mac should be Mik mic, Aster 2 in previous years</t>
  </si>
  <si>
    <t>Poorter (N=1)</t>
  </si>
  <si>
    <t>NEO_CAR</t>
  </si>
  <si>
    <t>Neomirandea</t>
  </si>
  <si>
    <t>carnosa</t>
  </si>
  <si>
    <t xml:space="preserve">(Kuntze) R.M.  King  &amp;  H.  Rob.     </t>
  </si>
  <si>
    <t>SP - CD - 2011- Fede</t>
  </si>
  <si>
    <t>NEU_LOB</t>
  </si>
  <si>
    <t>Neurolaena</t>
  </si>
  <si>
    <t>lobata</t>
  </si>
  <si>
    <t xml:space="preserve">(L.) Cass.             </t>
  </si>
  <si>
    <t>SEN_MUL</t>
  </si>
  <si>
    <t>Senecio</t>
  </si>
  <si>
    <t>multivenius</t>
  </si>
  <si>
    <t>only at Sparks</t>
  </si>
  <si>
    <t>SYN_NOD</t>
  </si>
  <si>
    <t>Synedrella</t>
  </si>
  <si>
    <t>nodiflora</t>
  </si>
  <si>
    <t xml:space="preserve">(L.) Gaertn.             </t>
  </si>
  <si>
    <t>TAG_ERE</t>
  </si>
  <si>
    <t>Tagetes</t>
  </si>
  <si>
    <t>erecta</t>
  </si>
  <si>
    <t>Aster apio</t>
  </si>
  <si>
    <t>celery like leaves</t>
  </si>
  <si>
    <t>El Cenizo</t>
  </si>
  <si>
    <t>VER_TAP</t>
  </si>
  <si>
    <t>Verbesina</t>
  </si>
  <si>
    <t>tapantiana</t>
  </si>
  <si>
    <t xml:space="preserve">Poveda &amp;  Hammel           </t>
  </si>
  <si>
    <t>VER_TUR</t>
  </si>
  <si>
    <t>turbacensis</t>
  </si>
  <si>
    <t>Tora</t>
  </si>
  <si>
    <t>VER_PAT</t>
  </si>
  <si>
    <t>Vernonanthura</t>
  </si>
  <si>
    <t>patens</t>
  </si>
  <si>
    <t xml:space="preserve">(Kunth) H.  Rob.           </t>
  </si>
  <si>
    <t>Paira negra, Vernonia patens Kunth</t>
  </si>
  <si>
    <t>common vernonia with papery leaves</t>
  </si>
  <si>
    <t>VER_ARB</t>
  </si>
  <si>
    <t>Vernonia</t>
  </si>
  <si>
    <t>arborescens</t>
  </si>
  <si>
    <t xml:space="preserve">(L.) Sw.             </t>
  </si>
  <si>
    <t>Aster peludo, alternate Aster</t>
  </si>
  <si>
    <t>alternate pubescent leaves, common in pasture</t>
  </si>
  <si>
    <t>WEDELIA</t>
  </si>
  <si>
    <t>Wedelia</t>
  </si>
  <si>
    <t>YOU_JAP</t>
  </si>
  <si>
    <t>Youngia</t>
  </si>
  <si>
    <t>japonica</t>
  </si>
  <si>
    <t xml:space="preserve">(L.) DC.             </t>
  </si>
  <si>
    <t>ZEX_VIR</t>
  </si>
  <si>
    <t>Zexmenia</t>
  </si>
  <si>
    <t>virgulta</t>
  </si>
  <si>
    <t xml:space="preserve">Klatt              </t>
  </si>
  <si>
    <t>opposite leaved shrub</t>
  </si>
  <si>
    <t>seedling 3 in Cedeno ILB 2007 is this,</t>
  </si>
  <si>
    <t>IMP_WAL</t>
  </si>
  <si>
    <t>Balsaminaceae</t>
  </si>
  <si>
    <t>Impatiens</t>
  </si>
  <si>
    <t>walleriana</t>
  </si>
  <si>
    <t xml:space="preserve">Hook. f.             </t>
  </si>
  <si>
    <t>Impatiens balsamina</t>
  </si>
  <si>
    <r>
      <t xml:space="preserve">por la hoja y color de flor seca parece mas bien </t>
    </r>
    <r>
      <rPr>
        <i/>
        <sz val="11"/>
        <rFont val="Calibri"/>
        <family val="2"/>
        <charset val="1"/>
      </rPr>
      <t>walleriana</t>
    </r>
  </si>
  <si>
    <t>BEG_CAR</t>
  </si>
  <si>
    <t>Begoniaceae</t>
  </si>
  <si>
    <t>Begonia</t>
  </si>
  <si>
    <t>carpinifolia</t>
  </si>
  <si>
    <t>BEG_FIS</t>
  </si>
  <si>
    <t>fischeri</t>
  </si>
  <si>
    <t xml:space="preserve">Schrank              </t>
  </si>
  <si>
    <t>begonia tallo rojo</t>
  </si>
  <si>
    <t>Sparks - 2008</t>
  </si>
  <si>
    <t>BEG_GLA</t>
  </si>
  <si>
    <t>glabra </t>
  </si>
  <si>
    <t>AMP_PAN</t>
  </si>
  <si>
    <t>Bignoniaceae</t>
  </si>
  <si>
    <t>Amphilophium</t>
  </si>
  <si>
    <t>pannosum</t>
  </si>
  <si>
    <t xml:space="preserve">(DC.) Bureau  &amp;  K.  Schum.       </t>
  </si>
  <si>
    <t>LL - 2010</t>
  </si>
  <si>
    <t>AMP_IST</t>
  </si>
  <si>
    <t>Amphitecna</t>
  </si>
  <si>
    <t>isthmica</t>
  </si>
  <si>
    <t xml:space="preserve">(A.H. Gentry)  A.H.  Gentry         </t>
  </si>
  <si>
    <t>AMP_SES</t>
  </si>
  <si>
    <t>HAN_CHR</t>
  </si>
  <si>
    <t>Handroanthus</t>
  </si>
  <si>
    <t>chrysanthus </t>
  </si>
  <si>
    <t xml:space="preserve">(Jacq.) S. O.  Grose           </t>
  </si>
  <si>
    <t>Corteza amarilla, Tabebuia chrysantha, TAB_CHR</t>
  </si>
  <si>
    <t>familia y nombre incorrecto</t>
  </si>
  <si>
    <t>HAN_OCH</t>
  </si>
  <si>
    <t>ochraceus </t>
  </si>
  <si>
    <t xml:space="preserve">(Cham.) Mattos              </t>
  </si>
  <si>
    <t>Tab_och</t>
  </si>
  <si>
    <t>MAR_OBO</t>
  </si>
  <si>
    <t>Martinella</t>
  </si>
  <si>
    <t xml:space="preserve">(Kunth) Bureau  &amp;  K.  Schum.       </t>
  </si>
  <si>
    <t>Morinella</t>
  </si>
  <si>
    <t>Wright (N=2)</t>
  </si>
  <si>
    <t>SPA_CAM</t>
  </si>
  <si>
    <t>Spathodea</t>
  </si>
  <si>
    <t>campanulata</t>
  </si>
  <si>
    <t xml:space="preserve">P. Beauv.             </t>
  </si>
  <si>
    <t>Chave</t>
  </si>
  <si>
    <t>BIX_ORE</t>
  </si>
  <si>
    <t>Bixaceae</t>
  </si>
  <si>
    <t>Bixa</t>
  </si>
  <si>
    <t>orellana </t>
  </si>
  <si>
    <t>COR_ALL</t>
  </si>
  <si>
    <t>Boraginaceae</t>
  </si>
  <si>
    <t>Cordia</t>
  </si>
  <si>
    <t>alliodora </t>
  </si>
  <si>
    <t>(Ruiz &amp; Pav.) Oken</t>
  </si>
  <si>
    <t>COR_CYM</t>
  </si>
  <si>
    <t>cymosa</t>
  </si>
  <si>
    <t xml:space="preserve">(Donn. Sm.)  Standl.           </t>
  </si>
  <si>
    <t>COR_ERI</t>
  </si>
  <si>
    <t>eriostigma</t>
  </si>
  <si>
    <t xml:space="preserve">Pittier              </t>
  </si>
  <si>
    <t>Reserve</t>
  </si>
  <si>
    <t>COR_LUC</t>
  </si>
  <si>
    <t>lucidula</t>
  </si>
  <si>
    <t>I.M. Johnst.</t>
  </si>
  <si>
    <t>TOU_BIC</t>
  </si>
  <si>
    <t>Tournefortia</t>
  </si>
  <si>
    <t>bicolor</t>
  </si>
  <si>
    <t xml:space="preserve">Sw.              </t>
  </si>
  <si>
    <t>Azulillo or Myrsene coriaceae?</t>
  </si>
  <si>
    <t>Check problem with ID</t>
  </si>
  <si>
    <t>VAR_SPI</t>
  </si>
  <si>
    <t>Varronia</t>
  </si>
  <si>
    <t>spinescens</t>
  </si>
  <si>
    <t xml:space="preserve">(L.) Borhidi             </t>
  </si>
  <si>
    <t>Cor spi</t>
  </si>
  <si>
    <t>hairy Aster, alt hairy scab, Cordia spinescens L.</t>
  </si>
  <si>
    <t>AEC_MEX</t>
  </si>
  <si>
    <t>Bromeliaceae</t>
  </si>
  <si>
    <t>Aechmea</t>
  </si>
  <si>
    <t>WERAUHIA</t>
  </si>
  <si>
    <t>Werauhia</t>
  </si>
  <si>
    <t>PRO_GLA</t>
  </si>
  <si>
    <t>Burseraceae</t>
  </si>
  <si>
    <t>Protium</t>
  </si>
  <si>
    <t>glabrum</t>
  </si>
  <si>
    <t>(Rose) Engl.</t>
  </si>
  <si>
    <t>PRO_RAV</t>
  </si>
  <si>
    <t>ravenii </t>
  </si>
  <si>
    <t>D.M. Porter</t>
  </si>
  <si>
    <t>CAL_BRA</t>
  </si>
  <si>
    <t>Calophyllaceae</t>
  </si>
  <si>
    <t>Calophyllum</t>
  </si>
  <si>
    <t>brasiliense</t>
  </si>
  <si>
    <t xml:space="preserve">Cambess.              </t>
  </si>
  <si>
    <t>Family name change</t>
  </si>
  <si>
    <t>Boukili-LC (Bryan Finnegan has)</t>
  </si>
  <si>
    <t>Literature highly variable</t>
  </si>
  <si>
    <t>Wright (.570 from Chave WDD database - 16 values)</t>
  </si>
  <si>
    <t>BUR_CYC</t>
  </si>
  <si>
    <t>Campanulaceae</t>
  </si>
  <si>
    <t>Burmeistera</t>
  </si>
  <si>
    <t>cyclostigmata</t>
  </si>
  <si>
    <t>CEN_GRA</t>
  </si>
  <si>
    <t>Centropogon</t>
  </si>
  <si>
    <t>granulosus</t>
  </si>
  <si>
    <t xml:space="preserve">C. Presl             </t>
  </si>
  <si>
    <t>Arbusto tallo morado</t>
  </si>
  <si>
    <t>BRN IMA - Fede - 2008</t>
  </si>
  <si>
    <t>TRE_MIC</t>
  </si>
  <si>
    <t>Cannabaceae</t>
  </si>
  <si>
    <t>Trema</t>
  </si>
  <si>
    <t>Tre mic</t>
  </si>
  <si>
    <t>Capulin</t>
  </si>
  <si>
    <t>CITR_COS</t>
  </si>
  <si>
    <t>Citronella</t>
  </si>
  <si>
    <t>costaricensis </t>
  </si>
  <si>
    <t xml:space="preserve">(Donn. Sm.) R.A.  Howard           </t>
  </si>
  <si>
    <t>Dama</t>
  </si>
  <si>
    <t>have to use four letters for genus because there is another CIT_COS</t>
  </si>
  <si>
    <t>CAR_CAU</t>
  </si>
  <si>
    <t>Caricaceae</t>
  </si>
  <si>
    <t>Carica</t>
  </si>
  <si>
    <t>cauliflora</t>
  </si>
  <si>
    <t>Papaya de montaña</t>
  </si>
  <si>
    <t>JAC_DOL</t>
  </si>
  <si>
    <t>Jacaratia</t>
  </si>
  <si>
    <t>dolichaula</t>
  </si>
  <si>
    <t>DRY_COR</t>
  </si>
  <si>
    <t>Caryophyllaceae</t>
  </si>
  <si>
    <t>Drymaria</t>
  </si>
  <si>
    <t>cordata</t>
  </si>
  <si>
    <t xml:space="preserve">(L.) Willd.  ex  Schult.         </t>
  </si>
  <si>
    <t>Rub 1</t>
  </si>
  <si>
    <t>looks like Stelleria but larger more rounded leaves</t>
  </si>
  <si>
    <t>STE_OVA</t>
  </si>
  <si>
    <t>Stellaria</t>
  </si>
  <si>
    <t>ovata</t>
  </si>
  <si>
    <t xml:space="preserve">Willd. ex  Schltdl.           </t>
  </si>
  <si>
    <t>piddly white flower</t>
  </si>
  <si>
    <t>SAL_COR</t>
  </si>
  <si>
    <t>Celastraceae</t>
  </si>
  <si>
    <t>Salacia</t>
  </si>
  <si>
    <t xml:space="preserve">(Miers) Mennega             </t>
  </si>
  <si>
    <t>ZIN_INT</t>
  </si>
  <si>
    <t>Zinowiewia</t>
  </si>
  <si>
    <t>integerrima</t>
  </si>
  <si>
    <t>(Turcz.) Turzc.</t>
  </si>
  <si>
    <t>MAYTENUS</t>
  </si>
  <si>
    <t>Maytenus</t>
  </si>
  <si>
    <t>sp</t>
  </si>
  <si>
    <t>UNK</t>
  </si>
  <si>
    <t>HED_BON</t>
  </si>
  <si>
    <t>Chloranthaceae</t>
  </si>
  <si>
    <t>Hedyosmum</t>
  </si>
  <si>
    <t>bonplandianum</t>
  </si>
  <si>
    <t>Hey bon</t>
  </si>
  <si>
    <t>LIC_PLA</t>
  </si>
  <si>
    <t>Chrysobalanaceae</t>
  </si>
  <si>
    <t>platypus</t>
  </si>
  <si>
    <t>saw in plant RS but outside sampling quadrats</t>
  </si>
  <si>
    <t>Wright (Same from Chave)</t>
  </si>
  <si>
    <t>POD_DEC</t>
  </si>
  <si>
    <t>Cleomaceae</t>
  </si>
  <si>
    <t>Podandrogyne</t>
  </si>
  <si>
    <t>decipiens </t>
  </si>
  <si>
    <t xml:space="preserve">(Triana &amp; Planch.)  Woodson           </t>
  </si>
  <si>
    <t>CLE_COS</t>
  </si>
  <si>
    <t>Clethraceae</t>
  </si>
  <si>
    <t>Clethra</t>
  </si>
  <si>
    <t>costaricensis</t>
  </si>
  <si>
    <t xml:space="preserve">Britton              </t>
  </si>
  <si>
    <t>alternate hairy leaves</t>
  </si>
  <si>
    <t>CHR_ALL</t>
  </si>
  <si>
    <t>Clusiaceae</t>
  </si>
  <si>
    <t>Chrysochlamys</t>
  </si>
  <si>
    <t>allenii</t>
  </si>
  <si>
    <t>(Maguire) Hammel</t>
  </si>
  <si>
    <t>CHR_GLA</t>
  </si>
  <si>
    <t>glauca</t>
  </si>
  <si>
    <t xml:space="preserve">(Oerst., Planch.  &amp;  Triana)  Hemsl.       </t>
  </si>
  <si>
    <t>EC</t>
  </si>
  <si>
    <t>CHR_SKU</t>
  </si>
  <si>
    <t>skutchii </t>
  </si>
  <si>
    <t xml:space="preserve">Hammel              </t>
  </si>
  <si>
    <t>CLU_PAL</t>
  </si>
  <si>
    <t>Clusia</t>
  </si>
  <si>
    <t>palmana</t>
  </si>
  <si>
    <t>CLU_TOR</t>
  </si>
  <si>
    <t xml:space="preserve">torresii </t>
  </si>
  <si>
    <t>CLU_VAL</t>
  </si>
  <si>
    <t>valerioi</t>
  </si>
  <si>
    <t>Standl</t>
  </si>
  <si>
    <t>CLUSIA</t>
  </si>
  <si>
    <t>large tree</t>
  </si>
  <si>
    <t>GAR_INT</t>
  </si>
  <si>
    <t>Garcinia</t>
  </si>
  <si>
    <t>intermedia</t>
  </si>
  <si>
    <t xml:space="preserve">(Pittier) Hammel             </t>
  </si>
  <si>
    <t>Wright (.663 from Chave)</t>
  </si>
  <si>
    <t>GAR_MAD</t>
  </si>
  <si>
    <t>madruno</t>
  </si>
  <si>
    <t xml:space="preserve">(Kunth) Hammel             </t>
  </si>
  <si>
    <t>Mayfield (Wright has)</t>
  </si>
  <si>
    <t>Wright (.727 from Chave)</t>
  </si>
  <si>
    <t>SYM_GLO</t>
  </si>
  <si>
    <t>Symphonia</t>
  </si>
  <si>
    <t>globulifera</t>
  </si>
  <si>
    <t xml:space="preserve">L. f.             </t>
  </si>
  <si>
    <t>Wright (.603 from Chave)</t>
  </si>
  <si>
    <t>TER_AMA</t>
  </si>
  <si>
    <t>Combretaceae</t>
  </si>
  <si>
    <t>Terminalia</t>
  </si>
  <si>
    <t>amazonia</t>
  </si>
  <si>
    <t xml:space="preserve">(J.F. Gmel.)  Exell           </t>
  </si>
  <si>
    <t>Kew (Panama)</t>
  </si>
  <si>
    <t>Wright (.639 from WDD database - two Central American samples - 116, 168)</t>
  </si>
  <si>
    <t>MEASURE SUMMER 2015</t>
  </si>
  <si>
    <t>COM_DIF</t>
  </si>
  <si>
    <t>Commelinaceae</t>
  </si>
  <si>
    <t>Commelina</t>
  </si>
  <si>
    <t xml:space="preserve">Burm. f.             </t>
  </si>
  <si>
    <t>Com dif; Com ere</t>
  </si>
  <si>
    <t>Green (TRY)</t>
  </si>
  <si>
    <t>COM_RUF</t>
  </si>
  <si>
    <t>rufipes </t>
  </si>
  <si>
    <t xml:space="preserve">Seub.              </t>
  </si>
  <si>
    <t>DIC_HEX</t>
  </si>
  <si>
    <t>Dichorisandra</t>
  </si>
  <si>
    <t>hexandra</t>
  </si>
  <si>
    <t xml:space="preserve">(Aubl.) Standl.             </t>
  </si>
  <si>
    <t>TRADESCANTIA</t>
  </si>
  <si>
    <t>Tradescantia</t>
  </si>
  <si>
    <t>TRA_ZAN</t>
  </si>
  <si>
    <t>zanonia</t>
  </si>
  <si>
    <t xml:space="preserve"> (L.) Sw.              </t>
  </si>
  <si>
    <t>TRI_SER</t>
  </si>
  <si>
    <t>Tripogandra</t>
  </si>
  <si>
    <t>serrulata</t>
  </si>
  <si>
    <t xml:space="preserve">(Vahl) Handlos             </t>
  </si>
  <si>
    <t>AC - 2010</t>
  </si>
  <si>
    <t>TRIPOGANDRA</t>
  </si>
  <si>
    <t>sp1</t>
  </si>
  <si>
    <t>IPO_NIL</t>
  </si>
  <si>
    <t>Convolvulaceae</t>
  </si>
  <si>
    <t>Ipomoea</t>
  </si>
  <si>
    <t>nil</t>
  </si>
  <si>
    <t xml:space="preserve">(L.) Roth             </t>
  </si>
  <si>
    <t>IPOMOEA</t>
  </si>
  <si>
    <t>MAR_NIC</t>
  </si>
  <si>
    <t>Maripa</t>
  </si>
  <si>
    <t>nicaraguensis</t>
  </si>
  <si>
    <t>MER_DIS</t>
  </si>
  <si>
    <t>Merremia</t>
  </si>
  <si>
    <t>discoidesperma</t>
  </si>
  <si>
    <t xml:space="preserve">(Donn. Sm.) O'Donell             </t>
  </si>
  <si>
    <t>COS_MON</t>
  </si>
  <si>
    <t>Costaceae</t>
  </si>
  <si>
    <t>Costus</t>
  </si>
  <si>
    <t>montanus </t>
  </si>
  <si>
    <t xml:space="preserve">Maas              </t>
  </si>
  <si>
    <t>COS_PUL</t>
  </si>
  <si>
    <t>pulverulentus</t>
  </si>
  <si>
    <t>COS_SCA</t>
  </si>
  <si>
    <t>scaber</t>
  </si>
  <si>
    <t>KAL_PIN</t>
  </si>
  <si>
    <t>Crassulaceae</t>
  </si>
  <si>
    <t>Kalanchoe</t>
  </si>
  <si>
    <t>pinnata</t>
  </si>
  <si>
    <t xml:space="preserve">(Lam.) Pers.             </t>
  </si>
  <si>
    <t>CAY_BUR</t>
  </si>
  <si>
    <t>Cucurbitaceae</t>
  </si>
  <si>
    <t>Cayaponia</t>
  </si>
  <si>
    <t>buraeavii</t>
  </si>
  <si>
    <t xml:space="preserve">Cogn.              </t>
  </si>
  <si>
    <t>yellow flowers</t>
  </si>
  <si>
    <t>AC - 2009</t>
  </si>
  <si>
    <t>CAY_GRA</t>
  </si>
  <si>
    <t>granatensis </t>
  </si>
  <si>
    <t>Wright (mentions that data were highly variable for this species)</t>
  </si>
  <si>
    <t>CAYAPONIA</t>
  </si>
  <si>
    <t>liana, large fruit pod, winged seeds</t>
  </si>
  <si>
    <t>CYC_MUL</t>
  </si>
  <si>
    <t>Cyclanthera</t>
  </si>
  <si>
    <t>multifoliola</t>
  </si>
  <si>
    <t>MEL_PEN</t>
  </si>
  <si>
    <t>Melothria</t>
  </si>
  <si>
    <t>pendula</t>
  </si>
  <si>
    <t>PSI_TRI</t>
  </si>
  <si>
    <t>Psiguria</t>
  </si>
  <si>
    <t>triphylla</t>
  </si>
  <si>
    <t xml:space="preserve">(Miq.) C.  Jeffrey           </t>
  </si>
  <si>
    <t>SG-CA</t>
  </si>
  <si>
    <t>RYT_CAR</t>
  </si>
  <si>
    <t>Rytidostylis</t>
  </si>
  <si>
    <t>carthagenensis</t>
  </si>
  <si>
    <t xml:space="preserve">(Jacq.) Kuntze             </t>
  </si>
  <si>
    <t>Cucurb chanchillo</t>
  </si>
  <si>
    <t>El Cenizo 2008</t>
  </si>
  <si>
    <t>SEC_PIT</t>
  </si>
  <si>
    <t>Sechium</t>
  </si>
  <si>
    <t>pittieri </t>
  </si>
  <si>
    <t xml:space="preserve">(Cogn.) C. Jeffrey             </t>
  </si>
  <si>
    <t>SEC_TAC</t>
  </si>
  <si>
    <t>tacaco</t>
  </si>
  <si>
    <t xml:space="preserve">(Pittier) C.  Jeffrey           </t>
  </si>
  <si>
    <t>MM</t>
  </si>
  <si>
    <t>ALSOPHILA</t>
  </si>
  <si>
    <t>Cyatheaceae</t>
  </si>
  <si>
    <t>Alsophila</t>
  </si>
  <si>
    <t>SP - ILB - 2011 - Fede</t>
  </si>
  <si>
    <t>Tfern</t>
  </si>
  <si>
    <t>CYATHEA</t>
  </si>
  <si>
    <t>Cyathea</t>
  </si>
  <si>
    <t>ASP_EUR</t>
  </si>
  <si>
    <t>Cyclanthaceae</t>
  </si>
  <si>
    <t>Asplundia</t>
  </si>
  <si>
    <t>euryspatha </t>
  </si>
  <si>
    <t xml:space="preserve">Harling              </t>
  </si>
  <si>
    <t>ASP_ISA</t>
  </si>
  <si>
    <t>isabellina</t>
  </si>
  <si>
    <t>ASP-MUL</t>
  </si>
  <si>
    <t>multistaminata</t>
  </si>
  <si>
    <t>CAR_DRU</t>
  </si>
  <si>
    <t>Carludovica</t>
  </si>
  <si>
    <t>drudei</t>
  </si>
  <si>
    <t xml:space="preserve">Mast.              </t>
  </si>
  <si>
    <t>CAR_PAL</t>
  </si>
  <si>
    <t>palmata</t>
  </si>
  <si>
    <t>CYC_BIP</t>
  </si>
  <si>
    <t>Cyclanthus</t>
  </si>
  <si>
    <t>bipartitus </t>
  </si>
  <si>
    <t xml:space="preserve">Poit. ex A.  Rich.           </t>
  </si>
  <si>
    <t>CYPERUS</t>
  </si>
  <si>
    <t>Cyperaceae</t>
  </si>
  <si>
    <t>Cyperus</t>
  </si>
  <si>
    <t>Graminoid</t>
  </si>
  <si>
    <t>CYP_TEN</t>
  </si>
  <si>
    <t>ELEOCHARIS</t>
  </si>
  <si>
    <t>Eleocharis</t>
  </si>
  <si>
    <t>FIM_DIC</t>
  </si>
  <si>
    <t>Fimbristylis</t>
  </si>
  <si>
    <t>dichotoma</t>
  </si>
  <si>
    <t xml:space="preserve">(L.) Vahl             </t>
  </si>
  <si>
    <t>KILLINGIA</t>
  </si>
  <si>
    <t>Killingia</t>
  </si>
  <si>
    <t>RHY_RAD</t>
  </si>
  <si>
    <t>Rhynchospora</t>
  </si>
  <si>
    <t>radicans</t>
  </si>
  <si>
    <t xml:space="preserve">(Schltdl. &amp;  Cham.)  H.  Pfeiff.       </t>
  </si>
  <si>
    <t>RHY_SCH</t>
  </si>
  <si>
    <t>schiedeana</t>
  </si>
  <si>
    <t>SC</t>
  </si>
  <si>
    <t>SCL_MEL</t>
  </si>
  <si>
    <t>Scleria</t>
  </si>
  <si>
    <t>melaleuca</t>
  </si>
  <si>
    <t xml:space="preserve">Rchb. ex  Schltdl.  &amp;  Cham.       </t>
  </si>
  <si>
    <t>458, 566</t>
  </si>
  <si>
    <t>PTE_ARA</t>
  </si>
  <si>
    <t>Dennstaedtiaceae</t>
  </si>
  <si>
    <t>Pteridium</t>
  </si>
  <si>
    <t>arachnoideum</t>
  </si>
  <si>
    <t xml:space="preserve">(Kaulf.) Maxon             </t>
  </si>
  <si>
    <t>Pte aqu</t>
  </si>
  <si>
    <t>Bracken</t>
  </si>
  <si>
    <t>this ID is from Robbin Moran, we always called it Pte aqu 2007 and before</t>
  </si>
  <si>
    <t>Fern</t>
  </si>
  <si>
    <t>DICHAPETALUM</t>
  </si>
  <si>
    <t>Dichapetalaceae</t>
  </si>
  <si>
    <t>Dichapetalum</t>
  </si>
  <si>
    <t>LOP_QUA</t>
  </si>
  <si>
    <t>Dicksoniaceae</t>
  </si>
  <si>
    <t>Lophosoria</t>
  </si>
  <si>
    <t>quadripinnata </t>
  </si>
  <si>
    <t xml:space="preserve">(J.F. Gmel.) C.  Chr.           </t>
  </si>
  <si>
    <t>PER_LON</t>
  </si>
  <si>
    <t>Dipentodontaceae</t>
  </si>
  <si>
    <t>Perrottetia</t>
  </si>
  <si>
    <t>longistylis</t>
  </si>
  <si>
    <t xml:space="preserve">Rose              </t>
  </si>
  <si>
    <t>DRA_FRA</t>
  </si>
  <si>
    <t>Dracaenaceae</t>
  </si>
  <si>
    <t>Dracaena</t>
  </si>
  <si>
    <t>fragrans</t>
  </si>
  <si>
    <t xml:space="preserve">(L.) Ker  Gawl.           </t>
  </si>
  <si>
    <t>Cana india</t>
  </si>
  <si>
    <t>SLO_BRE</t>
  </si>
  <si>
    <t>Elaeocarpaceae</t>
  </si>
  <si>
    <t>Sloanea</t>
  </si>
  <si>
    <t>SLO_FAG</t>
  </si>
  <si>
    <t>faginea</t>
  </si>
  <si>
    <t>CAV_BRA</t>
  </si>
  <si>
    <t>Ericaceae</t>
  </si>
  <si>
    <t>Cavendishia</t>
  </si>
  <si>
    <t>bracteata</t>
  </si>
  <si>
    <t xml:space="preserve">(Ruiz &amp;  Pav.  ex  J.  St.-Hil.)  Hoerold   </t>
  </si>
  <si>
    <t>SAT_WAR</t>
  </si>
  <si>
    <t>Satyria</t>
  </si>
  <si>
    <t>warszewiczii</t>
  </si>
  <si>
    <t xml:space="preserve">Klotzsch              </t>
  </si>
  <si>
    <t>only 1 seed</t>
  </si>
  <si>
    <t>SPH_ELL</t>
  </si>
  <si>
    <t>Sphyrospermum</t>
  </si>
  <si>
    <t>ellipticum</t>
  </si>
  <si>
    <t xml:space="preserve"> Sleumer              </t>
  </si>
  <si>
    <t>HEI_ACU</t>
  </si>
  <si>
    <t>Erythropalaceae</t>
  </si>
  <si>
    <t>Heisteria</t>
  </si>
  <si>
    <t>ERY_MAC</t>
  </si>
  <si>
    <t>Erythroxylaceae</t>
  </si>
  <si>
    <t>Erythroxylum</t>
  </si>
  <si>
    <t>macrophyllum</t>
  </si>
  <si>
    <t xml:space="preserve">Cav.              </t>
  </si>
  <si>
    <t>Wright (N=20)</t>
  </si>
  <si>
    <t>Wright (.710 from Chave)</t>
  </si>
  <si>
    <t>ACA_ARV</t>
  </si>
  <si>
    <t>Euphorbiaceae</t>
  </si>
  <si>
    <t>Acalypha</t>
  </si>
  <si>
    <t>arvensis</t>
  </si>
  <si>
    <t xml:space="preserve">Poepp.              </t>
  </si>
  <si>
    <t>Red monoecious plant</t>
  </si>
  <si>
    <t>red hairy herb, low herb</t>
  </si>
  <si>
    <t>ACA_DIV</t>
  </si>
  <si>
    <t>diversifolia</t>
  </si>
  <si>
    <t>Wright (N=15)</t>
  </si>
  <si>
    <t>ALC_GLA</t>
  </si>
  <si>
    <t>Alchornea</t>
  </si>
  <si>
    <t>glandulosa</t>
  </si>
  <si>
    <t>Zak - SG - 2010</t>
  </si>
  <si>
    <t>Lloyd (N=2)</t>
  </si>
  <si>
    <t>Wright (.372 fromChave)</t>
  </si>
  <si>
    <t>ALC_LAT</t>
  </si>
  <si>
    <t>latifolia</t>
  </si>
  <si>
    <t>alchornia</t>
  </si>
  <si>
    <t>Boukili-LS (Joe Wright has)</t>
  </si>
  <si>
    <t>Kew (Mexico)</t>
  </si>
  <si>
    <t>Wright (.400 from WDD database - ref 116)</t>
  </si>
  <si>
    <t>CRO_DRA</t>
  </si>
  <si>
    <t>Croton</t>
  </si>
  <si>
    <t>draco</t>
  </si>
  <si>
    <t xml:space="preserve">Schltdl. &amp;  Cham.           </t>
  </si>
  <si>
    <t>Boukili-LC (TRY has)</t>
  </si>
  <si>
    <t>Croton draco</t>
  </si>
  <si>
    <t>CRO_SCH</t>
  </si>
  <si>
    <t>schiedianus</t>
  </si>
  <si>
    <t xml:space="preserve">Schltdl.              </t>
  </si>
  <si>
    <t>CRO_TEN</t>
  </si>
  <si>
    <t>tenuicaudatus</t>
  </si>
  <si>
    <t xml:space="preserve">Lundell              </t>
  </si>
  <si>
    <t>MM - 2009</t>
  </si>
  <si>
    <t>SAP_ALL</t>
  </si>
  <si>
    <t>Sapium</t>
  </si>
  <si>
    <t xml:space="preserve">Huft              </t>
  </si>
  <si>
    <t>at LL</t>
  </si>
  <si>
    <t>SAP_GLA</t>
  </si>
  <si>
    <t>glandulosum</t>
  </si>
  <si>
    <t xml:space="preserve">(L.) Morong             </t>
  </si>
  <si>
    <t>Wright (.415 from Chave)</t>
  </si>
  <si>
    <t>SAP_LAU</t>
  </si>
  <si>
    <t>laurifolium</t>
  </si>
  <si>
    <t>(A. Rich.) Griseb.</t>
  </si>
  <si>
    <t>CAL_CAL</t>
  </si>
  <si>
    <t>Fabaceae</t>
  </si>
  <si>
    <t>Calliandra</t>
  </si>
  <si>
    <t>calothyrsus</t>
  </si>
  <si>
    <t xml:space="preserve">Meisn.              </t>
  </si>
  <si>
    <t>CAN_OXY</t>
  </si>
  <si>
    <t>Canavalia</t>
  </si>
  <si>
    <t>oxyphylla</t>
  </si>
  <si>
    <t xml:space="preserve">Standl. &amp;  L.O.  Williams         </t>
  </si>
  <si>
    <t>CEN_PUB</t>
  </si>
  <si>
    <t>Centrosema</t>
  </si>
  <si>
    <t>pubescens</t>
  </si>
  <si>
    <t>MM - 2009 - PC</t>
  </si>
  <si>
    <t>COJ_SOP</t>
  </si>
  <si>
    <t>Cojoba</t>
  </si>
  <si>
    <t>sophorocarpa</t>
  </si>
  <si>
    <t xml:space="preserve">(Benth.) Britton  &amp;  Rose         </t>
  </si>
  <si>
    <t>COJ_UND</t>
  </si>
  <si>
    <t>undulatomarginata</t>
  </si>
  <si>
    <t xml:space="preserve">L. Rico              </t>
  </si>
  <si>
    <t>CRO_SAG</t>
  </si>
  <si>
    <t>Crotalaria</t>
  </si>
  <si>
    <t>sagittalis</t>
  </si>
  <si>
    <t>DES_ADS</t>
  </si>
  <si>
    <t>Desmodium</t>
  </si>
  <si>
    <t>adscendens</t>
  </si>
  <si>
    <t xml:space="preserve">(Sw.) DC.             </t>
  </si>
  <si>
    <t>Des asc</t>
  </si>
  <si>
    <t>central leaf large and pubescent</t>
  </si>
  <si>
    <t>this is sometimes confused with axillater</t>
  </si>
  <si>
    <t>DES_AXI</t>
  </si>
  <si>
    <t>axillare</t>
  </si>
  <si>
    <t>flores blancas hoja grande lomento en dos partes</t>
  </si>
  <si>
    <t>DES_INC</t>
  </si>
  <si>
    <t>incanum</t>
  </si>
  <si>
    <t xml:space="preserve">D.C.              </t>
  </si>
  <si>
    <t>Fabaceae linea blanca hoja morada</t>
  </si>
  <si>
    <t>HB - Cb - Fede - 2007, no ID to species, Ya pude identificar</t>
  </si>
  <si>
    <t>Penuelas (N=1)</t>
  </si>
  <si>
    <t>Kew (air dried)</t>
  </si>
  <si>
    <t>DESMODIUM</t>
  </si>
  <si>
    <t>Desmodium spp. is mostly ascendens and probably some axillare</t>
  </si>
  <si>
    <t>DES_TOR</t>
  </si>
  <si>
    <t>tortuosum</t>
  </si>
  <si>
    <t>large leaved Desmodium</t>
  </si>
  <si>
    <t>leaf glabrous and veins pubescent</t>
  </si>
  <si>
    <t>DIP_AME</t>
  </si>
  <si>
    <t>Diphysa</t>
  </si>
  <si>
    <t>americana</t>
  </si>
  <si>
    <t xml:space="preserve">(Mill.) M.  Sousa           </t>
  </si>
  <si>
    <t>DYP_AME</t>
  </si>
  <si>
    <t>Guachipelin</t>
  </si>
  <si>
    <t>DUS_MAC</t>
  </si>
  <si>
    <t>Dussia</t>
  </si>
  <si>
    <t>macroprophyllata </t>
  </si>
  <si>
    <t>(Donn. Sm.) Harms</t>
  </si>
  <si>
    <t>ERY_BER</t>
  </si>
  <si>
    <t>Erythrina</t>
  </si>
  <si>
    <t>berteroana</t>
  </si>
  <si>
    <t xml:space="preserve">Urb.              </t>
  </si>
  <si>
    <t>ERY_GIB</t>
  </si>
  <si>
    <t>gibbosa </t>
  </si>
  <si>
    <t xml:space="preserve">Cufod.              </t>
  </si>
  <si>
    <t>ERY_LAN</t>
  </si>
  <si>
    <t>lanceolata</t>
  </si>
  <si>
    <t>ERY_POE</t>
  </si>
  <si>
    <t>poeppigiana</t>
  </si>
  <si>
    <t xml:space="preserve">(Walp.) O.F.  Cook           </t>
  </si>
  <si>
    <t>FLE_MAC</t>
  </si>
  <si>
    <t>Flemingia</t>
  </si>
  <si>
    <t xml:space="preserve">(Willd.) Kuntze ex  Merr.           </t>
  </si>
  <si>
    <t>GUI_URO</t>
  </si>
  <si>
    <t>Guilandina</t>
  </si>
  <si>
    <t>urophylla</t>
  </si>
  <si>
    <t xml:space="preserve">(Donn. Sm.) Britton  &amp;  Rose         </t>
  </si>
  <si>
    <t>ING_DEN</t>
  </si>
  <si>
    <t>Inga</t>
  </si>
  <si>
    <t>densiflora</t>
  </si>
  <si>
    <t>ING_EDU</t>
  </si>
  <si>
    <t>edulis</t>
  </si>
  <si>
    <t>Mean from TRY values (Lloyd, Sosinski)</t>
  </si>
  <si>
    <t>ING_NOB</t>
  </si>
  <si>
    <t>nobilis</t>
  </si>
  <si>
    <t xml:space="preserve">Willd.              </t>
  </si>
  <si>
    <t>Wright (.560 from Chave (S. Amer))</t>
  </si>
  <si>
    <t>ING_PUN</t>
  </si>
  <si>
    <t>punctata</t>
  </si>
  <si>
    <t>Wright (Same from Chave (S. Amer))</t>
  </si>
  <si>
    <t>ING_RUI</t>
  </si>
  <si>
    <t>ruiziana</t>
  </si>
  <si>
    <t>G. Don</t>
  </si>
  <si>
    <t>ING_SAP</t>
  </si>
  <si>
    <t>sapindoides</t>
  </si>
  <si>
    <t>ING_SKU</t>
  </si>
  <si>
    <t>skutchii</t>
  </si>
  <si>
    <t>ING_SPE</t>
  </si>
  <si>
    <t>spectabilis</t>
  </si>
  <si>
    <t>(Vahl) Willd.</t>
  </si>
  <si>
    <t>ING_COT</t>
  </si>
  <si>
    <t xml:space="preserve">     </t>
  </si>
  <si>
    <t>FBO says El MPCR Vol V. indica que esta especie debe llamarse asi.</t>
  </si>
  <si>
    <t>INGA</t>
  </si>
  <si>
    <t>LON_CAL</t>
  </si>
  <si>
    <t>Lonchocarpus</t>
  </si>
  <si>
    <t>calcaratus</t>
  </si>
  <si>
    <t xml:space="preserve">F.J.  </t>
  </si>
  <si>
    <t>LON_OLI</t>
  </si>
  <si>
    <t>oliganthus</t>
  </si>
  <si>
    <t xml:space="preserve">F.J. Herm.             </t>
  </si>
  <si>
    <t>LONCHOCARPUS</t>
  </si>
  <si>
    <t>MAC_BIO</t>
  </si>
  <si>
    <t>Machaerium</t>
  </si>
  <si>
    <t>biovulatum</t>
  </si>
  <si>
    <t xml:space="preserve"> Micheli</t>
  </si>
  <si>
    <t>MAC_SAL</t>
  </si>
  <si>
    <t>salvadorense</t>
  </si>
  <si>
    <t xml:space="preserve">(Donn. Sm.)  Rudd           </t>
  </si>
  <si>
    <t>forest vine with compound leaves, found in a couple plots</t>
  </si>
  <si>
    <t>MAC_SEE</t>
  </si>
  <si>
    <t>seemannii</t>
  </si>
  <si>
    <t xml:space="preserve">Benth. ex  Seem.           </t>
  </si>
  <si>
    <t>Onoda (N=1)</t>
  </si>
  <si>
    <t>MACHAERIUM</t>
  </si>
  <si>
    <t xml:space="preserve">          </t>
  </si>
  <si>
    <t>MIM_PUD</t>
  </si>
  <si>
    <t>Mimosa</t>
  </si>
  <si>
    <t>pudica</t>
  </si>
  <si>
    <t>MUC_GLO</t>
  </si>
  <si>
    <t>Mucuna</t>
  </si>
  <si>
    <t xml:space="preserve">T.M. Moura,  N.  Zamora  &amp;  A.M.G.  Azevedo   </t>
  </si>
  <si>
    <t>MUC_HOL</t>
  </si>
  <si>
    <t>holtonii</t>
  </si>
  <si>
    <t xml:space="preserve">(Kuntze) Moldenke             </t>
  </si>
  <si>
    <t>Zak - MM - 2009 - IMB</t>
  </si>
  <si>
    <t>MUCUNA</t>
  </si>
  <si>
    <t>PLA_PIN</t>
  </si>
  <si>
    <t>Platymiscium</t>
  </si>
  <si>
    <t>pinnatum </t>
  </si>
  <si>
    <t xml:space="preserve">(Jacq.) Dugand              </t>
  </si>
  <si>
    <t>RHY_QUE</t>
  </si>
  <si>
    <t>Rhynchosia</t>
  </si>
  <si>
    <t>quercetorum </t>
  </si>
  <si>
    <t>SEN_PAP</t>
  </si>
  <si>
    <t>Senna</t>
  </si>
  <si>
    <t>papillosa</t>
  </si>
  <si>
    <t xml:space="preserve">(Britton &amp;  Rose)  H.S.  Irwin  &amp;  Barneby   </t>
  </si>
  <si>
    <t>senna</t>
  </si>
  <si>
    <t>WDD database - average of five South American Senna congeners - refs 44, 57, 134, 141, 204</t>
  </si>
  <si>
    <t>hayesiana</t>
  </si>
  <si>
    <t>(Britton &amp; Rose) H.S. Irwin &amp; Barneby</t>
  </si>
  <si>
    <t>TER_UNC</t>
  </si>
  <si>
    <t>Teramnus</t>
  </si>
  <si>
    <t>uncinatus</t>
  </si>
  <si>
    <t>VIG_LUT</t>
  </si>
  <si>
    <t>Vigna</t>
  </si>
  <si>
    <t>luteola</t>
  </si>
  <si>
    <t xml:space="preserve">(Jacq.) Benth.             </t>
  </si>
  <si>
    <t>RS</t>
  </si>
  <si>
    <t>QUE_BEN</t>
  </si>
  <si>
    <t>Fagaceae</t>
  </si>
  <si>
    <t>Quercus</t>
  </si>
  <si>
    <t>benthamii </t>
  </si>
  <si>
    <t xml:space="preserve">A. DC.              </t>
  </si>
  <si>
    <t>Quercus rapurahuensis</t>
  </si>
  <si>
    <t>QUE_INS</t>
  </si>
  <si>
    <t>insignis</t>
  </si>
  <si>
    <t xml:space="preserve">M. Martens  &amp;  Galeotti         </t>
  </si>
  <si>
    <t>QUE_SAL</t>
  </si>
  <si>
    <t>salicifolia</t>
  </si>
  <si>
    <t xml:space="preserve">Née              </t>
  </si>
  <si>
    <t>Que see</t>
  </si>
  <si>
    <r>
      <t>Quercus seemannii</t>
    </r>
    <r>
      <rPr>
        <sz val="11"/>
        <rFont val="Calibri"/>
        <family val="2"/>
        <charset val="1"/>
      </rPr>
      <t xml:space="preserve"> Liebm.</t>
    </r>
  </si>
  <si>
    <t>SG</t>
  </si>
  <si>
    <t>MAC_VAL</t>
  </si>
  <si>
    <t>Gentianaceae</t>
  </si>
  <si>
    <t>Macrocarpaea</t>
  </si>
  <si>
    <t>Aster de tallo cuadrado suculento y de hojas sesiles.</t>
  </si>
  <si>
    <t>Heriberto - Islas B - 2008, otros lugares tambien</t>
  </si>
  <si>
    <t>DRY_MAC</t>
  </si>
  <si>
    <t>Gesneriaceae</t>
  </si>
  <si>
    <t>Drymonia</t>
  </si>
  <si>
    <t>macrantha</t>
  </si>
  <si>
    <t xml:space="preserve">(Donn. Sm.)  D.N.  Gibson         </t>
  </si>
  <si>
    <t>DRY_TUR</t>
  </si>
  <si>
    <t>turrialvae </t>
  </si>
  <si>
    <t xml:space="preserve">Hanst.              </t>
  </si>
  <si>
    <t>MON_MAX</t>
  </si>
  <si>
    <t>Monopyle</t>
  </si>
  <si>
    <t>maxonii</t>
  </si>
  <si>
    <t xml:space="preserve">C.V. Morton              </t>
  </si>
  <si>
    <t>XIP_CAE</t>
  </si>
  <si>
    <t>Hamaedoraceae</t>
  </si>
  <si>
    <t>Xiphidium</t>
  </si>
  <si>
    <t>caeruleum</t>
  </si>
  <si>
    <t>HEL_LAT</t>
  </si>
  <si>
    <t>Heliconiaceae</t>
  </si>
  <si>
    <t>Heliconia</t>
  </si>
  <si>
    <t>latispatha</t>
  </si>
  <si>
    <t>HELICONIA</t>
  </si>
  <si>
    <t>HEL_TOR</t>
  </si>
  <si>
    <t>tortuosa</t>
  </si>
  <si>
    <t xml:space="preserve">Griggs              </t>
  </si>
  <si>
    <t>Hel ros</t>
  </si>
  <si>
    <t>Hel rostrata,</t>
  </si>
  <si>
    <t>HEL_WIL</t>
  </si>
  <si>
    <t>wilsonii</t>
  </si>
  <si>
    <t xml:space="preserve">G.S. Daniels  &amp;  F.G.  Stiles       </t>
  </si>
  <si>
    <t>HER_STE</t>
  </si>
  <si>
    <t>Hernandiaceae</t>
  </si>
  <si>
    <t>Hernandia</t>
  </si>
  <si>
    <t>stenura</t>
  </si>
  <si>
    <t>VIS_BAC</t>
  </si>
  <si>
    <t>Hypericaceae</t>
  </si>
  <si>
    <t>Vismia</t>
  </si>
  <si>
    <t>baccifera</t>
  </si>
  <si>
    <t xml:space="preserve">(L.) Triana  &amp;  Planch.         </t>
  </si>
  <si>
    <t>opuestas ocre, savia naranja</t>
  </si>
  <si>
    <t>Boukili-LC (Joe Wright=15.136)</t>
  </si>
  <si>
    <t>Wright (.430 from WDD database - Central American sample - ref 196)</t>
  </si>
  <si>
    <t>CRO_CRO</t>
  </si>
  <si>
    <t>Iridiaceae</t>
  </si>
  <si>
    <t>Crocosmia</t>
  </si>
  <si>
    <t>X crocosmiifolia</t>
  </si>
  <si>
    <t xml:space="preserve"> (Lemoine  ex  Anonymous)  N.E.  Br.     </t>
  </si>
  <si>
    <t>Hierba plana</t>
  </si>
  <si>
    <t>cultivated plant</t>
  </si>
  <si>
    <t>479, 565</t>
  </si>
  <si>
    <t>JUG_OLA</t>
  </si>
  <si>
    <t>Juglandaceae</t>
  </si>
  <si>
    <t>Juglans</t>
  </si>
  <si>
    <t>olanchana</t>
  </si>
  <si>
    <t>Standl. &amp; L.O. Williams</t>
  </si>
  <si>
    <t>JUG_NEO</t>
  </si>
  <si>
    <t>LAC_AGG</t>
  </si>
  <si>
    <t>Lacistemataceae</t>
  </si>
  <si>
    <t>Lacistema</t>
  </si>
  <si>
    <t>aggregatum</t>
  </si>
  <si>
    <t xml:space="preserve">(P.J. Bergius)  Rusby           </t>
  </si>
  <si>
    <t>Wright (.509 from Chave)</t>
  </si>
  <si>
    <t>AEG_COS</t>
  </si>
  <si>
    <t>Lamiaceae</t>
  </si>
  <si>
    <t>Aegiphila</t>
  </si>
  <si>
    <t xml:space="preserve">Moldenke              </t>
  </si>
  <si>
    <t>AEG_PAN</t>
  </si>
  <si>
    <t>panamemsis</t>
  </si>
  <si>
    <t>Moldenke</t>
  </si>
  <si>
    <t>AEG_VAL</t>
  </si>
  <si>
    <t>valerii</t>
  </si>
  <si>
    <t>RZ</t>
  </si>
  <si>
    <t>2020_02</t>
  </si>
  <si>
    <t>Aeg ano</t>
  </si>
  <si>
    <r>
      <t>Aegiphila anomala</t>
    </r>
    <r>
      <rPr>
        <sz val="11"/>
        <color rgb="FF000000"/>
        <rFont val="Calibri"/>
        <family val="2"/>
        <charset val="1"/>
      </rPr>
      <t xml:space="preserve"> Pittier</t>
    </r>
    <r>
      <rPr>
        <i/>
        <sz val="11"/>
        <color rgb="FF000000"/>
        <rFont val="Calibri"/>
        <family val="2"/>
        <charset val="1"/>
      </rPr>
      <t>, A. valerioi</t>
    </r>
  </si>
  <si>
    <t>HYP_BRE</t>
  </si>
  <si>
    <t>Hyptis</t>
  </si>
  <si>
    <t>brevipes</t>
  </si>
  <si>
    <t xml:space="preserve">Poit.              </t>
  </si>
  <si>
    <t>hojas muy angostas</t>
  </si>
  <si>
    <t>HYP_CAP</t>
  </si>
  <si>
    <t>capitata</t>
  </si>
  <si>
    <t>Verbena 2, Hyptis peludo</t>
  </si>
  <si>
    <t>HYP_OBT</t>
  </si>
  <si>
    <t>obtusiflora</t>
  </si>
  <si>
    <t xml:space="preserve">C. Presl  ex  Benth.         </t>
  </si>
  <si>
    <t>Verbena 1</t>
  </si>
  <si>
    <t>HYP_PEC</t>
  </si>
  <si>
    <t>pectinata</t>
  </si>
  <si>
    <t xml:space="preserve">(L.) Poit.             </t>
  </si>
  <si>
    <t>HYPTIS</t>
  </si>
  <si>
    <t>HYP_VIL</t>
  </si>
  <si>
    <t>vilis Kunth</t>
  </si>
  <si>
    <t xml:space="preserve">&amp; C.D.  Bouché           </t>
  </si>
  <si>
    <t>SAL_COS</t>
  </si>
  <si>
    <t>Salvia</t>
  </si>
  <si>
    <t>AIO_COS</t>
  </si>
  <si>
    <t>Lauraceae</t>
  </si>
  <si>
    <t>Aiouea</t>
  </si>
  <si>
    <t xml:space="preserve">(Mez) Kosterm.             </t>
  </si>
  <si>
    <t>BEILSCHMIEDIA</t>
  </si>
  <si>
    <t>Beilschmiedia</t>
  </si>
  <si>
    <t>BEI_TOV</t>
  </si>
  <si>
    <t>tovarensis</t>
  </si>
  <si>
    <t>(Klotzsch &amp; H. Karst. ex Meisn.) Sach. Nishida</t>
  </si>
  <si>
    <t>CIN_CHA</t>
  </si>
  <si>
    <t>Cinnamomum</t>
  </si>
  <si>
    <t>chavarianum</t>
  </si>
  <si>
    <t>(Hammel) Kosterm.</t>
  </si>
  <si>
    <t>CIN_COS</t>
  </si>
  <si>
    <t xml:space="preserve">(Mez &amp;  Pittier)  Kosterm.         </t>
  </si>
  <si>
    <t>LL</t>
  </si>
  <si>
    <t>CINNAMOMUM</t>
  </si>
  <si>
    <t>CIN_TON</t>
  </si>
  <si>
    <t>tonduzii</t>
  </si>
  <si>
    <t>BB - 2010</t>
  </si>
  <si>
    <t>CIN_TRI</t>
  </si>
  <si>
    <t>triplinerve</t>
  </si>
  <si>
    <t xml:space="preserve">(Ruiz &amp;  Pav.)  Kosterm.         </t>
  </si>
  <si>
    <t>Phoebe cinnamomifolia</t>
  </si>
  <si>
    <t>121, 190</t>
  </si>
  <si>
    <t>LIC_PER</t>
  </si>
  <si>
    <t>Licaria</t>
  </si>
  <si>
    <t xml:space="preserve">pergamentacea </t>
  </si>
  <si>
    <t>W. C. Burger</t>
  </si>
  <si>
    <t>NEC_CIS</t>
  </si>
  <si>
    <t>Nectandra</t>
  </si>
  <si>
    <t>cissiflora</t>
  </si>
  <si>
    <t>Nees </t>
  </si>
  <si>
    <t>NEC_MEM</t>
  </si>
  <si>
    <t>membranacea </t>
  </si>
  <si>
    <t xml:space="preserve">(Sw.) Griseb.              </t>
  </si>
  <si>
    <t>NEC_LIN</t>
  </si>
  <si>
    <t>lineata </t>
  </si>
  <si>
    <t>(Kunth) Rohwer</t>
  </si>
  <si>
    <t>NEC_PUR</t>
  </si>
  <si>
    <t>purpurea</t>
  </si>
  <si>
    <t xml:space="preserve">(Ruiz &amp;  Pav.)  Mez.         </t>
  </si>
  <si>
    <t>OM</t>
  </si>
  <si>
    <t>Wright (.431 from Chave)</t>
  </si>
  <si>
    <t>NEC_RET</t>
  </si>
  <si>
    <t>reticulata</t>
  </si>
  <si>
    <t xml:space="preserve">(Ruiz &amp;  Pav.)  Mez         </t>
  </si>
  <si>
    <t>Wright (.420 from Chave (C. amer, S. amer values higher than C. amer value so not used))</t>
  </si>
  <si>
    <t>NECTANDRA</t>
  </si>
  <si>
    <t>OCO_CER</t>
  </si>
  <si>
    <t>Ocotea</t>
  </si>
  <si>
    <t>cernua</t>
  </si>
  <si>
    <t>saw at RS - P but outside plots</t>
  </si>
  <si>
    <t>Wright (.587 from Chave (C. amer, S. amer values lower than C. amer value so not used))</t>
  </si>
  <si>
    <t>OCO_DEN</t>
  </si>
  <si>
    <t>dendrodaphne</t>
  </si>
  <si>
    <t>Mez</t>
  </si>
  <si>
    <t>OCO_END</t>
  </si>
  <si>
    <t>endresiana</t>
  </si>
  <si>
    <t xml:space="preserve">Mez              </t>
  </si>
  <si>
    <t>very large seed, only 1 found in traps</t>
  </si>
  <si>
    <t>OCO_FLO</t>
  </si>
  <si>
    <t>floribunda </t>
  </si>
  <si>
    <t xml:space="preserve">(Sw.) Mez              </t>
  </si>
  <si>
    <t>OCO_INS</t>
  </si>
  <si>
    <t>insularis</t>
  </si>
  <si>
    <t xml:space="preserve">(Meisn.) Mez             </t>
  </si>
  <si>
    <t>OCO_LAE</t>
  </si>
  <si>
    <t>laetevirens</t>
  </si>
  <si>
    <t xml:space="preserve">Standl. &amp;  Steyerm.           </t>
  </si>
  <si>
    <t>OCO_LEN</t>
  </si>
  <si>
    <t>lentii</t>
  </si>
  <si>
    <t>W.C. Burger</t>
  </si>
  <si>
    <t>OCO_LEU</t>
  </si>
  <si>
    <t>leucoxylon</t>
  </si>
  <si>
    <t>(Sw.) Laness.</t>
  </si>
  <si>
    <t>CLORO</t>
  </si>
  <si>
    <t>Smells like chlorine</t>
  </si>
  <si>
    <r>
      <rPr>
        <i/>
        <sz val="11"/>
        <rFont val="Arial"/>
        <family val="2"/>
        <charset val="1"/>
      </rPr>
      <t xml:space="preserve">Chlorine-smelling </t>
    </r>
    <r>
      <rPr>
        <sz val="11"/>
        <rFont val="Arial"/>
        <family val="2"/>
        <charset val="1"/>
      </rPr>
      <t>Laurac - common in a number of sites</t>
    </r>
  </si>
  <si>
    <t>OCO_OBL</t>
  </si>
  <si>
    <t>oblonga</t>
  </si>
  <si>
    <t>OCO_PUB</t>
  </si>
  <si>
    <t>puberula</t>
  </si>
  <si>
    <t xml:space="preserve">Nees              </t>
  </si>
  <si>
    <t>OM, LL</t>
  </si>
  <si>
    <t>Wright (.433 from WDD database - average of four samples from South America - refs 30, 46, 46, 114)</t>
  </si>
  <si>
    <t>OCO_RIG</t>
  </si>
  <si>
    <t>rigens</t>
  </si>
  <si>
    <t>(Nees &amp; Mart.) Rohwer</t>
  </si>
  <si>
    <t>OCO_SIN</t>
  </si>
  <si>
    <t>sinuata</t>
  </si>
  <si>
    <t xml:space="preserve">(Mez) Rohwer             </t>
  </si>
  <si>
    <t>Nec sin</t>
  </si>
  <si>
    <t>OCOTEA</t>
  </si>
  <si>
    <t>OCO_STE</t>
  </si>
  <si>
    <t>stenonuera</t>
  </si>
  <si>
    <t>Mez &amp; Pittier</t>
  </si>
  <si>
    <t>PER_AME</t>
  </si>
  <si>
    <t>Persea</t>
  </si>
  <si>
    <t xml:space="preserve">Mill.              </t>
  </si>
  <si>
    <t>Boukili-LS (Poorter = 9.355)</t>
  </si>
  <si>
    <t>Chave (C. Amer, Africa values lower than C. america and not used)</t>
  </si>
  <si>
    <t>PER_CAE</t>
  </si>
  <si>
    <t>caerulea</t>
  </si>
  <si>
    <t>Chave (C. Amer)</t>
  </si>
  <si>
    <t>PER_RIG</t>
  </si>
  <si>
    <t xml:space="preserve">C.K. Allen             </t>
  </si>
  <si>
    <t>Per rin</t>
  </si>
  <si>
    <t>PER_SIL</t>
  </si>
  <si>
    <t>silvatica</t>
  </si>
  <si>
    <t xml:space="preserve">van der  Werff           </t>
  </si>
  <si>
    <t>PERSEA</t>
  </si>
  <si>
    <t>PLE_PAU</t>
  </si>
  <si>
    <t xml:space="preserve">Pleurothyrium </t>
  </si>
  <si>
    <t>pauciflorum</t>
  </si>
  <si>
    <t>van der Werff &amp; Hammel</t>
  </si>
  <si>
    <t>LAU_FEO</t>
  </si>
  <si>
    <t>Smells awful, Z &amp; K agreed to use LAU rather than LAUR - needs to be fixed elsewhere</t>
  </si>
  <si>
    <t xml:space="preserve">Really bad smelling Laurac in OM and other places; venation and leaves similar to PER_AME </t>
  </si>
  <si>
    <t>LAU_VA</t>
  </si>
  <si>
    <t>Vena amarilla, , Z &amp; K agreed to use LAU rather than LAUR - needs to be fixed elsewhere</t>
  </si>
  <si>
    <t>LAURACEAE</t>
  </si>
  <si>
    <t>ORY_CAL</t>
  </si>
  <si>
    <t>Loranthaceae</t>
  </si>
  <si>
    <t>Oryctanthus</t>
  </si>
  <si>
    <t>callicarpus</t>
  </si>
  <si>
    <t xml:space="preserve">Kuijt              </t>
  </si>
  <si>
    <t>ORY_OCC</t>
  </si>
  <si>
    <t>PER_LEP</t>
  </si>
  <si>
    <t>Peristethium</t>
  </si>
  <si>
    <t>leptostachyum</t>
  </si>
  <si>
    <t>(Kunth) Tiegh.</t>
  </si>
  <si>
    <t>STR_LEP</t>
  </si>
  <si>
    <t>Struthanthus</t>
  </si>
  <si>
    <t>STRUTHANTHUS_</t>
  </si>
  <si>
    <t>LYCPODIELLA</t>
  </si>
  <si>
    <t>Lycopodiaceae</t>
  </si>
  <si>
    <t>Lycopodiella</t>
  </si>
  <si>
    <t>CUP_CAR</t>
  </si>
  <si>
    <t>Lythraceae</t>
  </si>
  <si>
    <t>Cuphea</t>
  </si>
  <si>
    <t xml:space="preserve">(Jacq.) J.F.  Macbr.           </t>
  </si>
  <si>
    <t>BUN_ARG</t>
  </si>
  <si>
    <t>Malpighiaceae</t>
  </si>
  <si>
    <t>Bunchosia</t>
  </si>
  <si>
    <t>argentea </t>
  </si>
  <si>
    <t xml:space="preserve">(Jacq.) DC.              </t>
  </si>
  <si>
    <t>BUN_DWY</t>
  </si>
  <si>
    <t>dwyeri </t>
  </si>
  <si>
    <t xml:space="preserve"> Cuatrec. &amp; Croat             </t>
  </si>
  <si>
    <t>BUN_DWE</t>
  </si>
  <si>
    <t>BYR_CRA</t>
  </si>
  <si>
    <t>Byrsonima</t>
  </si>
  <si>
    <t>crassifolia </t>
  </si>
  <si>
    <t xml:space="preserve">(L.) Kunth              </t>
  </si>
  <si>
    <t>Nance</t>
  </si>
  <si>
    <t>Poorter (N=3)</t>
  </si>
  <si>
    <t>MAS_DIV</t>
  </si>
  <si>
    <t>Mascagnia</t>
  </si>
  <si>
    <t>divaricata</t>
  </si>
  <si>
    <t xml:space="preserve">(Kunth) Nied.             </t>
  </si>
  <si>
    <t>TET_DIS</t>
  </si>
  <si>
    <t>Tetrapterys</t>
  </si>
  <si>
    <t>discolor</t>
  </si>
  <si>
    <t xml:space="preserve">(G. Mey.)  DC.           </t>
  </si>
  <si>
    <t>DOM_WAL</t>
  </si>
  <si>
    <t>Malvaceae</t>
  </si>
  <si>
    <t>Dombeya</t>
  </si>
  <si>
    <t>wallichii </t>
  </si>
  <si>
    <t xml:space="preserve">(Lindl.) Baill.              </t>
  </si>
  <si>
    <t>HAM_APP</t>
  </si>
  <si>
    <t>Hampea</t>
  </si>
  <si>
    <t>appendiculata</t>
  </si>
  <si>
    <t>Wright (Same from WDD database - Central American sample - ref 196)</t>
  </si>
  <si>
    <t>HEL_AME</t>
  </si>
  <si>
    <t>Heliocarpus</t>
  </si>
  <si>
    <t>americanus</t>
  </si>
  <si>
    <t>Kew (Mexico, moisture content not clear)</t>
  </si>
  <si>
    <t>Wright (.195 from Chave - South America - ref 44, 187)</t>
  </si>
  <si>
    <t>HEL_APP</t>
  </si>
  <si>
    <t>appendiculatus</t>
  </si>
  <si>
    <t xml:space="preserve">Turcz.              </t>
  </si>
  <si>
    <t>Burrillo</t>
  </si>
  <si>
    <t>Boukili-LC (Wright has)</t>
  </si>
  <si>
    <t>Wright (.180 from WDD database - Central American sample - ref 196)</t>
  </si>
  <si>
    <t>MAL_ACH</t>
  </si>
  <si>
    <t>Malvaviscus</t>
  </si>
  <si>
    <t>achanioides </t>
  </si>
  <si>
    <t xml:space="preserve">(Turcz.) Fryxell              </t>
  </si>
  <si>
    <t>MEL_LUP</t>
  </si>
  <si>
    <t>Melochia</t>
  </si>
  <si>
    <t>lupulina</t>
  </si>
  <si>
    <t>Mal cor</t>
  </si>
  <si>
    <t>Malvastrum coromandelianum (L.) Garcke</t>
  </si>
  <si>
    <t>MOR_ABE</t>
  </si>
  <si>
    <t>Mortoniodendron</t>
  </si>
  <si>
    <t>abelianum</t>
  </si>
  <si>
    <t>Al. Rodr.</t>
  </si>
  <si>
    <t>PAV_SCH</t>
  </si>
  <si>
    <t>Pavonia</t>
  </si>
  <si>
    <t>schiedeana </t>
  </si>
  <si>
    <t>Steud.</t>
  </si>
  <si>
    <t>QUA_AST</t>
  </si>
  <si>
    <t>Quararibea</t>
  </si>
  <si>
    <t>QUA_AUR</t>
  </si>
  <si>
    <t>aurantiocalyx</t>
  </si>
  <si>
    <t xml:space="preserve">W.S. Alverson             </t>
  </si>
  <si>
    <t>SID_ACU</t>
  </si>
  <si>
    <t>Sida</t>
  </si>
  <si>
    <t>acuta</t>
  </si>
  <si>
    <t>SID_RHO</t>
  </si>
  <si>
    <t>rhombifolia</t>
  </si>
  <si>
    <t>SIDA</t>
  </si>
  <si>
    <t>TRI_BOG</t>
  </si>
  <si>
    <t>Triumfetta</t>
  </si>
  <si>
    <t>bogotensis</t>
  </si>
  <si>
    <t>Tri lap</t>
  </si>
  <si>
    <t>had wrong species before</t>
  </si>
  <si>
    <t>CAL_CRO</t>
  </si>
  <si>
    <t>Maranthaceae</t>
  </si>
  <si>
    <t>Calathea</t>
  </si>
  <si>
    <t>crotalifera</t>
  </si>
  <si>
    <t xml:space="preserve">S. Watson             </t>
  </si>
  <si>
    <t>found first at SG in 2009</t>
  </si>
  <si>
    <t>CAL_GUZ</t>
  </si>
  <si>
    <t>guzmanioides</t>
  </si>
  <si>
    <t xml:space="preserve">L.B. Sm. &amp;  Idrobo           </t>
  </si>
  <si>
    <t>CALATHEA</t>
  </si>
  <si>
    <t>MAR_BRO</t>
  </si>
  <si>
    <t>Marcgraviaceae</t>
  </si>
  <si>
    <t>Marcgravia</t>
  </si>
  <si>
    <t>brownei </t>
  </si>
  <si>
    <t xml:space="preserve">(Triana &amp; Planch.)  Krug  &amp;  Urb.       </t>
  </si>
  <si>
    <t>Mar cos</t>
  </si>
  <si>
    <t>MAZ_PUM</t>
  </si>
  <si>
    <t>Mazaceae</t>
  </si>
  <si>
    <t>Mazus</t>
  </si>
  <si>
    <t>pumilus</t>
  </si>
  <si>
    <t xml:space="preserve">(Burm. f.)  Steenis           </t>
  </si>
  <si>
    <t>ACI_PUR</t>
  </si>
  <si>
    <t>Melastomataceae</t>
  </si>
  <si>
    <t>Aciotis</t>
  </si>
  <si>
    <t>purpurascens</t>
  </si>
  <si>
    <t xml:space="preserve">(Aubl.) Triana             </t>
  </si>
  <si>
    <t>GN -2010</t>
  </si>
  <si>
    <t>ART_CIL</t>
  </si>
  <si>
    <t>Arthrostemma</t>
  </si>
  <si>
    <t>ciliatum</t>
  </si>
  <si>
    <t xml:space="preserve">Pav. ex  D.  Don         </t>
  </si>
  <si>
    <t>Melastomataceae tallo cuadrado</t>
  </si>
  <si>
    <t>tallo cuadrado, suculento flores rosadas muy grandes</t>
  </si>
  <si>
    <t>JG, need to fix on data sheets</t>
  </si>
  <si>
    <t>BLA_HEN</t>
  </si>
  <si>
    <t>Blakea</t>
  </si>
  <si>
    <t>henripittieri</t>
  </si>
  <si>
    <t xml:space="preserve">Penneys &amp;  Almeda           </t>
  </si>
  <si>
    <t>BLA_MAU</t>
  </si>
  <si>
    <t>maurofernandeziana</t>
  </si>
  <si>
    <t>(Cogn.) Penneys &amp; Almeda</t>
  </si>
  <si>
    <t>BLA_MUL</t>
  </si>
  <si>
    <t>multiflora</t>
  </si>
  <si>
    <t>D. Don</t>
  </si>
  <si>
    <t>TOP_MUL</t>
  </si>
  <si>
    <r>
      <t>Topobea multiflora</t>
    </r>
    <r>
      <rPr>
        <sz val="11"/>
        <color rgb="FF000000"/>
        <rFont val="Calibri"/>
        <family val="2"/>
        <charset val="1"/>
      </rPr>
      <t xml:space="preserve"> (D. Don) Triana</t>
    </r>
  </si>
  <si>
    <t>BLA_PAR</t>
  </si>
  <si>
    <t>parasitica</t>
  </si>
  <si>
    <t>(Aubl.) D. Don</t>
  </si>
  <si>
    <t>CLI_CAP</t>
  </si>
  <si>
    <t>Clidemia</t>
  </si>
  <si>
    <t>capitellata</t>
  </si>
  <si>
    <t xml:space="preserve">(Bonpl.) D.  Don           </t>
  </si>
  <si>
    <t>CLI_CIL</t>
  </si>
  <si>
    <t>ciliata</t>
  </si>
  <si>
    <t>CLI_OCT</t>
  </si>
  <si>
    <t>octona</t>
  </si>
  <si>
    <t xml:space="preserve">(Bonpl.) L.O.  Williams           </t>
  </si>
  <si>
    <t>SC ILA</t>
  </si>
  <si>
    <t>Joe Wright has</t>
  </si>
  <si>
    <t>CON_BIG</t>
  </si>
  <si>
    <t>Conostegia</t>
  </si>
  <si>
    <t>bigibbosa</t>
  </si>
  <si>
    <t>(in ref forest data is mispelled)</t>
  </si>
  <si>
    <t>CON_CON</t>
  </si>
  <si>
    <t>conorufescens</t>
  </si>
  <si>
    <t>Michelang.</t>
  </si>
  <si>
    <t>CON RUF</t>
  </si>
  <si>
    <t>Conostegia rufescens</t>
  </si>
  <si>
    <t>rufescens</t>
  </si>
  <si>
    <t xml:space="preserve">Naudin              </t>
  </si>
  <si>
    <t>CON_ICO</t>
  </si>
  <si>
    <t>icosandra</t>
  </si>
  <si>
    <t xml:space="preserve">(Sw. ex  Wikstr.)  Urb.         </t>
  </si>
  <si>
    <t>Con pit</t>
  </si>
  <si>
    <t>Note that M. icosandra and C. pittieri were wrong, all should be Con ico, leaves alt between large and small, glabrous, canal down the center of  petiole, ILA-RS</t>
  </si>
  <si>
    <t>CON_LAS</t>
  </si>
  <si>
    <t xml:space="preserve">Conostegia </t>
  </si>
  <si>
    <t>lasiopoda</t>
  </si>
  <si>
    <t>Benth.</t>
  </si>
  <si>
    <t>CONOSTEGIA</t>
  </si>
  <si>
    <t>CON_SUB</t>
  </si>
  <si>
    <t>subcrustulata</t>
  </si>
  <si>
    <t xml:space="preserve">(Beurl.) Triana             </t>
  </si>
  <si>
    <t>CON_SUP</t>
  </si>
  <si>
    <t>superba</t>
  </si>
  <si>
    <t xml:space="preserve">D. Don  ex  Naudin         </t>
  </si>
  <si>
    <t>CON_TEN</t>
  </si>
  <si>
    <t>tenuifolia</t>
  </si>
  <si>
    <t>CON_XAL</t>
  </si>
  <si>
    <t>xalapensis</t>
  </si>
  <si>
    <t xml:space="preserve">(Bonpl.) D.  Don  ex  DC.       </t>
  </si>
  <si>
    <t>melastome 5</t>
  </si>
  <si>
    <t>GRA_GAL</t>
  </si>
  <si>
    <t>Graffenrieda</t>
  </si>
  <si>
    <t>galeottii</t>
  </si>
  <si>
    <t xml:space="preserve">(Naudin) L.O.  Williams           </t>
  </si>
  <si>
    <t>5 nerves, ciliate edge of leaf, red petiole</t>
  </si>
  <si>
    <t>no data in WDD</t>
  </si>
  <si>
    <t>LEA_GRA</t>
  </si>
  <si>
    <t>Leandra</t>
  </si>
  <si>
    <t>grandifolia</t>
  </si>
  <si>
    <t>Zak - AC - IMA; formerly Lea dic</t>
  </si>
  <si>
    <t>LOR_UMB</t>
  </si>
  <si>
    <t xml:space="preserve">Loreya </t>
  </si>
  <si>
    <t>(Gleason) Wurdack</t>
  </si>
  <si>
    <t>MIC_AFF</t>
  </si>
  <si>
    <t>Miconia</t>
  </si>
  <si>
    <t>affinis</t>
  </si>
  <si>
    <t>Reserve, has domatia, glabrous leaf</t>
  </si>
  <si>
    <t>Boukili-LS (Bryan Finnegan and Joe Wright have)</t>
  </si>
  <si>
    <t>MIC_APP</t>
  </si>
  <si>
    <t xml:space="preserve">Triana              </t>
  </si>
  <si>
    <t>RS - 2010</t>
  </si>
  <si>
    <t>MIC_ARG</t>
  </si>
  <si>
    <t>argentea</t>
  </si>
  <si>
    <t>saw at RS outside plots</t>
  </si>
  <si>
    <t>Wright (.589 from Chave - Central America - Ref 44)</t>
  </si>
  <si>
    <t>MIC_CAL</t>
  </si>
  <si>
    <t>calvescens</t>
  </si>
  <si>
    <t>Wright (.420 from Chave - South America - Ref 198, 184)</t>
  </si>
  <si>
    <t>MIC_CHI</t>
  </si>
  <si>
    <t>chiriquiensis</t>
  </si>
  <si>
    <t xml:space="preserve">Almeda              </t>
  </si>
  <si>
    <t>MIC_DOLP</t>
  </si>
  <si>
    <t>MIC_DOLR</t>
  </si>
  <si>
    <t>dolichorrhyncha</t>
  </si>
  <si>
    <t>Reserve, hairy petioles, very hairy below, lanceolate leaf with long point, leaf veins depressed so interveinal areas puff up</t>
  </si>
  <si>
    <t>MIC_DON</t>
  </si>
  <si>
    <t>doniana</t>
  </si>
  <si>
    <t>Mic mac</t>
  </si>
  <si>
    <t>Mic sp3</t>
  </si>
  <si>
    <t>This is what we used to call Mic mac - has chordate leaf base, minimal hairiness</t>
  </si>
  <si>
    <t>MIC_IBA</t>
  </si>
  <si>
    <t>ibaguensis</t>
  </si>
  <si>
    <t xml:space="preserve">(Bonpl.) Triana             </t>
  </si>
  <si>
    <t>Chave - Central America - ref 113</t>
  </si>
  <si>
    <t>MIC_LON</t>
  </si>
  <si>
    <t>lonchophylla</t>
  </si>
  <si>
    <t xml:space="preserve">Naudin.              </t>
  </si>
  <si>
    <t>MIC_MIC</t>
  </si>
  <si>
    <t>Valeriana</t>
  </si>
  <si>
    <t>MIC_NUT</t>
  </si>
  <si>
    <t>a new species of Melastome in the B islands at Reserve, Fede doesn't know ID, many secondary veins, coriaceous leaves, red petioles</t>
  </si>
  <si>
    <t>MIC_PRA</t>
  </si>
  <si>
    <t>prasina</t>
  </si>
  <si>
    <t>MIC_PUN</t>
  </si>
  <si>
    <t xml:space="preserve">(Desr.) D.  Don  ex  DC.       </t>
  </si>
  <si>
    <t>Finegan (Single)</t>
  </si>
  <si>
    <t>MIC_SCH</t>
  </si>
  <si>
    <t>schlimii</t>
  </si>
  <si>
    <t>CON_SCH</t>
  </si>
  <si>
    <t>Fede corrected name for this species in Aug 2016</t>
  </si>
  <si>
    <t>&lt;0.1</t>
  </si>
  <si>
    <t>~200</t>
  </si>
  <si>
    <t>WDD database - average of Central American samples of Miconia argentea and Miconia ibaquensis - overall average of all Miconia samples was similar</t>
  </si>
  <si>
    <t>MICONIA</t>
  </si>
  <si>
    <t>MIC_THE</t>
  </si>
  <si>
    <t>theaezans</t>
  </si>
  <si>
    <t xml:space="preserve">(Bonpl.) Cogn.             </t>
  </si>
  <si>
    <t>MIC_TRI</t>
  </si>
  <si>
    <t>trinervia</t>
  </si>
  <si>
    <t xml:space="preserve">(Sw.) D.  Don  ex  Loudon       </t>
  </si>
  <si>
    <t>Melastom sp.</t>
  </si>
  <si>
    <t>Wright (.620 from Chave WDD database - 1 value)</t>
  </si>
  <si>
    <t>OSS_MIC</t>
  </si>
  <si>
    <t>Ossaea</t>
  </si>
  <si>
    <t>micrantha </t>
  </si>
  <si>
    <t xml:space="preserve">(Sw.) Macfad. ex Cogn.           </t>
  </si>
  <si>
    <t>TIB_LON</t>
  </si>
  <si>
    <t>Tibouchina</t>
  </si>
  <si>
    <t>longifolia</t>
  </si>
  <si>
    <t xml:space="preserve">(Vahl) Baill.             </t>
  </si>
  <si>
    <t>Aci lon</t>
  </si>
  <si>
    <t>may have been called Aciotis longifolia before; Also monochaetum</t>
  </si>
  <si>
    <t>TOC_PLA</t>
  </si>
  <si>
    <t>Tococa</t>
  </si>
  <si>
    <t>platyphylla</t>
  </si>
  <si>
    <t>AC - IMB - 2011</t>
  </si>
  <si>
    <t>MELASTOMATACEAE</t>
  </si>
  <si>
    <t>CED_TON</t>
  </si>
  <si>
    <t>Meliaceae</t>
  </si>
  <si>
    <t>Cedrela</t>
  </si>
  <si>
    <t xml:space="preserve">C. DC.             </t>
  </si>
  <si>
    <t>cedro dulce</t>
  </si>
  <si>
    <t>Chave - Central America - ref 116</t>
  </si>
  <si>
    <t>CED_ODO</t>
  </si>
  <si>
    <t>GUA_BUL</t>
  </si>
  <si>
    <t>Guarea</t>
  </si>
  <si>
    <t>bullata</t>
  </si>
  <si>
    <t xml:space="preserve">Radlk.              </t>
  </si>
  <si>
    <t>GUA_CHI</t>
  </si>
  <si>
    <t>chiricana</t>
  </si>
  <si>
    <t>GUA_MON</t>
  </si>
  <si>
    <t xml:space="preserve">Al. Rodr.             </t>
  </si>
  <si>
    <t>GUA_RHO</t>
  </si>
  <si>
    <t>rhopalocarpa</t>
  </si>
  <si>
    <t>GUAREA</t>
  </si>
  <si>
    <t>RUA_GLA</t>
  </si>
  <si>
    <t>Ruagea</t>
  </si>
  <si>
    <t>glabra</t>
  </si>
  <si>
    <t>WDD database congener - ref 44</t>
  </si>
  <si>
    <t>TRI_HAV</t>
  </si>
  <si>
    <t>Trichilia</t>
  </si>
  <si>
    <t>havanensis</t>
  </si>
  <si>
    <t>Jacq. </t>
  </si>
  <si>
    <t>Zoo</t>
  </si>
  <si>
    <t>TRI_MAR</t>
  </si>
  <si>
    <t>martiana</t>
  </si>
  <si>
    <t xml:space="preserve">C. DC.              </t>
  </si>
  <si>
    <t>TRI_PIT</t>
  </si>
  <si>
    <t>TRICHILIA</t>
  </si>
  <si>
    <t>ABU_PAN</t>
  </si>
  <si>
    <t>Menispermaceae</t>
  </si>
  <si>
    <t>Abuta</t>
  </si>
  <si>
    <t>panamensis</t>
  </si>
  <si>
    <t xml:space="preserve">(Standl.) Krukoff &amp;  Barneby           </t>
  </si>
  <si>
    <t>CIS_GRA</t>
  </si>
  <si>
    <t>Cissampelos</t>
  </si>
  <si>
    <t xml:space="preserve">Triana &amp; Planch.             </t>
  </si>
  <si>
    <t>MM - IMB - Zak - 2009</t>
  </si>
  <si>
    <t>CIS_PAR</t>
  </si>
  <si>
    <t>pareira</t>
  </si>
  <si>
    <t>heart leaved vine, alternate heart-leaved vine</t>
  </si>
  <si>
    <t>HYP_ELA</t>
  </si>
  <si>
    <t>Hyperbaena</t>
  </si>
  <si>
    <t>eladioana</t>
  </si>
  <si>
    <t xml:space="preserve">Q. Jiménez              </t>
  </si>
  <si>
    <t>MOL_COS</t>
  </si>
  <si>
    <t>Monimiaceae</t>
  </si>
  <si>
    <t>Mollinedia</t>
  </si>
  <si>
    <t>MOL_VIR</t>
  </si>
  <si>
    <t>viridiflora</t>
  </si>
  <si>
    <t xml:space="preserve">Tul.              </t>
  </si>
  <si>
    <t>used to be Mollinedia pinchotiana</t>
  </si>
  <si>
    <t>BRO_GUI</t>
  </si>
  <si>
    <t>Moraceae</t>
  </si>
  <si>
    <t>Brosimum</t>
  </si>
  <si>
    <t>guianense </t>
  </si>
  <si>
    <t xml:space="preserve">(Aubl.) Huber              </t>
  </si>
  <si>
    <t>Wright (.844 from Chave - South America - refs 141, 35, 114, 115, 185, 64, 52, 128, 77, 45)</t>
  </si>
  <si>
    <t>FIC_AME</t>
  </si>
  <si>
    <t>Ficus</t>
  </si>
  <si>
    <t>americana </t>
  </si>
  <si>
    <t>FIC_CAL</t>
  </si>
  <si>
    <t>caldasiana</t>
  </si>
  <si>
    <t xml:space="preserve">Dugand              </t>
  </si>
  <si>
    <t>ET</t>
  </si>
  <si>
    <t>FIC_CER</t>
  </si>
  <si>
    <t>cervantesiana</t>
  </si>
  <si>
    <t>FIC_CIT</t>
  </si>
  <si>
    <t>citrifolia</t>
  </si>
  <si>
    <t>FIC_COL</t>
  </si>
  <si>
    <t>colubrinae</t>
  </si>
  <si>
    <t>Niinemets (N=1)</t>
  </si>
  <si>
    <t>FIC_COS</t>
  </si>
  <si>
    <t xml:space="preserve">(Liebm.) Miq.             </t>
  </si>
  <si>
    <t>FIC_HAR</t>
  </si>
  <si>
    <t>hartwegii</t>
  </si>
  <si>
    <t xml:space="preserve">(Miq.) Miq.             </t>
  </si>
  <si>
    <t>Chave - South America - ref 44</t>
  </si>
  <si>
    <t>FIC_MAC</t>
  </si>
  <si>
    <t>macbridei</t>
  </si>
  <si>
    <t>FIC_SP1</t>
  </si>
  <si>
    <t>FIC_SP2</t>
  </si>
  <si>
    <t>sp2</t>
  </si>
  <si>
    <t>FIC_TON</t>
  </si>
  <si>
    <t>Wright (N=24)</t>
  </si>
  <si>
    <t>FIC_YOP</t>
  </si>
  <si>
    <t>yoponensis </t>
  </si>
  <si>
    <t xml:space="preserve">Desv.              </t>
  </si>
  <si>
    <t>Mean from TRY values (Onoda, Wright)</t>
  </si>
  <si>
    <t>MAQ_GUI</t>
  </si>
  <si>
    <t>Maquira</t>
  </si>
  <si>
    <t>PSE_GLA</t>
  </si>
  <si>
    <t>Pseudolmedia</t>
  </si>
  <si>
    <t>glabrata</t>
  </si>
  <si>
    <t xml:space="preserve">(Liebm.) C.C.  Berg           </t>
  </si>
  <si>
    <t>Pse spu, Pse oxy</t>
  </si>
  <si>
    <t>Pseudolmedia spuria (Sw.) Griseb.</t>
  </si>
  <si>
    <t>incorrect initial ID</t>
  </si>
  <si>
    <t>newly assigned number-never found in traps</t>
  </si>
  <si>
    <t>123 or 127?</t>
  </si>
  <si>
    <t>Chave - Mexico - ref 23</t>
  </si>
  <si>
    <t>PSE_MOL</t>
  </si>
  <si>
    <t>PSE_OXY</t>
  </si>
  <si>
    <t>SOR_TRO</t>
  </si>
  <si>
    <t>Sorocea</t>
  </si>
  <si>
    <t>trophoides</t>
  </si>
  <si>
    <t xml:space="preserve">W.C. Burger             </t>
  </si>
  <si>
    <t>TRO_MEX</t>
  </si>
  <si>
    <t>Trophis</t>
  </si>
  <si>
    <t xml:space="preserve">(Liebm.) Bureau             </t>
  </si>
  <si>
    <t>Wright (Same from Chave - Mexico - ref 23)</t>
  </si>
  <si>
    <t>TRO_RAC</t>
  </si>
  <si>
    <t>racemosa</t>
  </si>
  <si>
    <t xml:space="preserve">(L.) Urb.             </t>
  </si>
  <si>
    <t>OM-PB; unsure if this is a cat 1 or 2 seed size</t>
  </si>
  <si>
    <t>MUS_PAR</t>
  </si>
  <si>
    <t>Musaceae</t>
  </si>
  <si>
    <t>Musa</t>
  </si>
  <si>
    <t>paradisiaca</t>
  </si>
  <si>
    <t>MUS_VEL</t>
  </si>
  <si>
    <t>velutina</t>
  </si>
  <si>
    <t xml:space="preserve">H. Wendl.  &amp;  Drude         </t>
  </si>
  <si>
    <t>COM_EXC</t>
  </si>
  <si>
    <t>Myristicaceae</t>
  </si>
  <si>
    <t>Compsoneura </t>
  </si>
  <si>
    <t>excelsa</t>
  </si>
  <si>
    <t> A.C. Sm.</t>
  </si>
  <si>
    <t>OTO_NOV</t>
  </si>
  <si>
    <t>Otoba</t>
  </si>
  <si>
    <t>novogranatensis</t>
  </si>
  <si>
    <t>VIR_CHR</t>
  </si>
  <si>
    <t>Virola</t>
  </si>
  <si>
    <t>chrysocarpa</t>
  </si>
  <si>
    <t>D. Santam. &amp; Aguilar</t>
  </si>
  <si>
    <t>VIR_KOS</t>
  </si>
  <si>
    <t>cambio nombre</t>
  </si>
  <si>
    <t>VIR_MON</t>
  </si>
  <si>
    <t>D. Santam.</t>
  </si>
  <si>
    <t>VIR_SEB</t>
  </si>
  <si>
    <t>sebifera</t>
  </si>
  <si>
    <t>Wright (.416 from Chave - Central America - refs 96, 167 (many other South America values))</t>
  </si>
  <si>
    <t>VIROLA</t>
  </si>
  <si>
    <t>CAL_CHY</t>
  </si>
  <si>
    <t>Myrtaceae</t>
  </si>
  <si>
    <t>Calyptranthes</t>
  </si>
  <si>
    <t>chytraculia</t>
  </si>
  <si>
    <t>EUG_FLO</t>
  </si>
  <si>
    <t>Eugenia</t>
  </si>
  <si>
    <t>florida</t>
  </si>
  <si>
    <t>EUG_GRA</t>
  </si>
  <si>
    <t>grayumii</t>
  </si>
  <si>
    <t xml:space="preserve">Barrie              </t>
  </si>
  <si>
    <t>EUG_PIT</t>
  </si>
  <si>
    <t>Eug oer</t>
  </si>
  <si>
    <t>EUGENIA</t>
  </si>
  <si>
    <t>MYR_FAL</t>
  </si>
  <si>
    <t>Myrcia</t>
  </si>
  <si>
    <t>fallax</t>
  </si>
  <si>
    <t>(Rich.) DC.</t>
  </si>
  <si>
    <t>MYR_SPL</t>
  </si>
  <si>
    <t>splendens</t>
  </si>
  <si>
    <t>Murta (purple-fruit tree)</t>
  </si>
  <si>
    <t>Wright (same from Chave - South America - ref 141)</t>
  </si>
  <si>
    <t>PLINIA</t>
  </si>
  <si>
    <t>Plinia</t>
  </si>
  <si>
    <t>PSI_FRI</t>
  </si>
  <si>
    <t>Psidium</t>
  </si>
  <si>
    <t>friedrichsthalianum</t>
  </si>
  <si>
    <t xml:space="preserve">(O. Berg)  Nied.           </t>
  </si>
  <si>
    <t>PSI_GUA</t>
  </si>
  <si>
    <t>guajava</t>
  </si>
  <si>
    <t>Guayaba</t>
  </si>
  <si>
    <t>WDD database - average of four samples globally - refs 14, 16, 30, 114</t>
  </si>
  <si>
    <t>SYZ_AQU</t>
  </si>
  <si>
    <t>Syzygium</t>
  </si>
  <si>
    <t>aqueum</t>
  </si>
  <si>
    <t xml:space="preserve">(Burm. f.) Alston         </t>
  </si>
  <si>
    <t>SYZ_JAM</t>
  </si>
  <si>
    <t>jambos</t>
  </si>
  <si>
    <t xml:space="preserve">(L.) Alston             </t>
  </si>
  <si>
    <t>WDD database - South American sample - ref 110</t>
  </si>
  <si>
    <t>SYZ_MAL</t>
  </si>
  <si>
    <t>malaccense</t>
  </si>
  <si>
    <t xml:space="preserve">(L.) Merr.  &amp;  L.M.  Perry       </t>
  </si>
  <si>
    <t>WDD database - two Asian samples - refs 14, 26</t>
  </si>
  <si>
    <t>MIR_JAL</t>
  </si>
  <si>
    <t>Nyctaginaceae</t>
  </si>
  <si>
    <t>Mirabilis</t>
  </si>
  <si>
    <t>jalapa</t>
  </si>
  <si>
    <t>NEE_LAE</t>
  </si>
  <si>
    <t>Neea</t>
  </si>
  <si>
    <t>Nee amp; Neea amplifolia Donn. Sm.</t>
  </si>
  <si>
    <t>LUD_OCT</t>
  </si>
  <si>
    <t>Onagraceae</t>
  </si>
  <si>
    <t>Ludwigia</t>
  </si>
  <si>
    <t>octovalvis</t>
  </si>
  <si>
    <t xml:space="preserve">(Jacq.) P.H.  Raven           </t>
  </si>
  <si>
    <t>ELL_CAR</t>
  </si>
  <si>
    <t>Orchidaceae</t>
  </si>
  <si>
    <t>Elleanthus</t>
  </si>
  <si>
    <t>caricoides</t>
  </si>
  <si>
    <t xml:space="preserve">Nash              </t>
  </si>
  <si>
    <t>OEC_MAC</t>
  </si>
  <si>
    <t>Oeceoclades</t>
  </si>
  <si>
    <t>maculata</t>
  </si>
  <si>
    <t xml:space="preserve"> (Lindl.) Lindl.              </t>
  </si>
  <si>
    <t>OXALIS</t>
  </si>
  <si>
    <t>Oxalidaceae</t>
  </si>
  <si>
    <t>Oxalis</t>
  </si>
  <si>
    <t>BOC_FRU</t>
  </si>
  <si>
    <t>Papaveraceae</t>
  </si>
  <si>
    <t>Bocconia</t>
  </si>
  <si>
    <t>frutescens</t>
  </si>
  <si>
    <t>Guacamaya</t>
  </si>
  <si>
    <t>PAS_AMB</t>
  </si>
  <si>
    <t>Passifloraceae</t>
  </si>
  <si>
    <t>Passiflora</t>
  </si>
  <si>
    <t>ambigua</t>
  </si>
  <si>
    <t>PAS_BIF</t>
  </si>
  <si>
    <t>biflora</t>
  </si>
  <si>
    <t xml:space="preserve">Lam.              </t>
  </si>
  <si>
    <t>PAS_EDU</t>
  </si>
  <si>
    <t xml:space="preserve">Sims              </t>
  </si>
  <si>
    <t>PAS_LOB</t>
  </si>
  <si>
    <t xml:space="preserve">(Killip) Hutch.  ex  J.M.  MacDougal       </t>
  </si>
  <si>
    <t>PAS_OER</t>
  </si>
  <si>
    <t>PASSIFLORA</t>
  </si>
  <si>
    <t>HIE_OBL</t>
  </si>
  <si>
    <t>Phyllanthaceae</t>
  </si>
  <si>
    <t>Hieronyma</t>
  </si>
  <si>
    <t xml:space="preserve">(Tul.) Müll.  Arg.           </t>
  </si>
  <si>
    <t>la moda ahora es separa Euphorbiaceae y los pilones pasaron a esta familia!!!</t>
  </si>
  <si>
    <t>PHY_NIR</t>
  </si>
  <si>
    <t>Phyllanthus</t>
  </si>
  <si>
    <t>niruri</t>
  </si>
  <si>
    <t>this is the most common in the pastures</t>
  </si>
  <si>
    <t>PHY_RIV</t>
  </si>
  <si>
    <t>Phytolaccaceae</t>
  </si>
  <si>
    <t>Phytolacca</t>
  </si>
  <si>
    <t>rivinoides</t>
  </si>
  <si>
    <t xml:space="preserve">Kunth &amp;  C.D.  Bouché         </t>
  </si>
  <si>
    <t>PIC_ANT</t>
  </si>
  <si>
    <t>Picramniaceae</t>
  </si>
  <si>
    <t>Picramnia</t>
  </si>
  <si>
    <t>antidesma</t>
  </si>
  <si>
    <t>PIC_TEA</t>
  </si>
  <si>
    <t>teapensis </t>
  </si>
  <si>
    <t>MAN_INC</t>
  </si>
  <si>
    <t>Piperaceae</t>
  </si>
  <si>
    <t>Manekia</t>
  </si>
  <si>
    <t>PIP_ADU</t>
  </si>
  <si>
    <t>Piper</t>
  </si>
  <si>
    <t>aduncum</t>
  </si>
  <si>
    <t>PIP_AEQ</t>
  </si>
  <si>
    <t>aequale</t>
  </si>
  <si>
    <t xml:space="preserve">Vahl              </t>
  </si>
  <si>
    <t>PIPER</t>
  </si>
  <si>
    <t>augustum </t>
  </si>
  <si>
    <t xml:space="preserve">Rudge              </t>
  </si>
  <si>
    <t>Piper 9</t>
  </si>
  <si>
    <t>PIP_AUR</t>
  </si>
  <si>
    <t>auritum</t>
  </si>
  <si>
    <t>this is the really large Piper</t>
  </si>
  <si>
    <t>PIP_BIO</t>
  </si>
  <si>
    <t>biolleyi</t>
  </si>
  <si>
    <t>FEDE - at MM in 2009</t>
  </si>
  <si>
    <t>PIP_CEI</t>
  </si>
  <si>
    <t>ceibense</t>
  </si>
  <si>
    <t>C. DC. </t>
  </si>
  <si>
    <t>PIP_CHR</t>
  </si>
  <si>
    <t>chrysostachyum</t>
  </si>
  <si>
    <t>LL- 2009</t>
  </si>
  <si>
    <t>PIP_CRA</t>
  </si>
  <si>
    <t>crassinervium</t>
  </si>
  <si>
    <t>PIP_ELL</t>
  </si>
  <si>
    <t>ellipticolanceolatum </t>
  </si>
  <si>
    <t>(C. DC.) Trel.</t>
  </si>
  <si>
    <t>PIP_FRI</t>
  </si>
  <si>
    <t>friedrichsthalii</t>
  </si>
  <si>
    <t>Piper 7, piper fine stem, piper 2</t>
  </si>
  <si>
    <t>que trabalenguas</t>
  </si>
  <si>
    <t>PIP_HIS</t>
  </si>
  <si>
    <t>hispidum</t>
  </si>
  <si>
    <t>412, 578</t>
  </si>
  <si>
    <t>PIP_LON</t>
  </si>
  <si>
    <t>longepetiolatum</t>
  </si>
  <si>
    <t xml:space="preserve">(C. DC.)  Trel.           </t>
  </si>
  <si>
    <t>Piper 4, Piper arboreum</t>
  </si>
  <si>
    <t>PIP_MUL</t>
  </si>
  <si>
    <t>multiplinervium</t>
  </si>
  <si>
    <t>Piper 6</t>
  </si>
  <si>
    <t>Wright (N=4)</t>
  </si>
  <si>
    <t>PIP_OBL</t>
  </si>
  <si>
    <t>obliquum Ruiz</t>
  </si>
  <si>
    <t xml:space="preserve">&amp; Pav.             </t>
  </si>
  <si>
    <t>PIP_PIT</t>
  </si>
  <si>
    <t>PIP_POL</t>
  </si>
  <si>
    <t>polytrichum</t>
  </si>
  <si>
    <t>Piper 8</t>
  </si>
  <si>
    <t>PIP_FIM</t>
  </si>
  <si>
    <t>pseudofimbriulatum</t>
  </si>
  <si>
    <t xml:space="preserve">Trel.              </t>
  </si>
  <si>
    <t>Piper 10, Piper fimbriulatum</t>
  </si>
  <si>
    <t>PIP_FO2935</t>
  </si>
  <si>
    <t xml:space="preserve">(FO 2935)             </t>
  </si>
  <si>
    <t>Piper 3, med leaf</t>
  </si>
  <si>
    <t>PIP_UMB</t>
  </si>
  <si>
    <t>umbellatum</t>
  </si>
  <si>
    <t>ACR_ZIZ</t>
  </si>
  <si>
    <t>Poaceae</t>
  </si>
  <si>
    <t>Acroceras</t>
  </si>
  <si>
    <t>zizanioides</t>
  </si>
  <si>
    <t xml:space="preserve">(Kunth) Dandy             </t>
  </si>
  <si>
    <t>Commelina grass, zacate swampo</t>
  </si>
  <si>
    <t>in 2010 called Commelina grass this (AC &amp; SP), longer leaves</t>
  </si>
  <si>
    <t>AND_BIC</t>
  </si>
  <si>
    <t>Andropogon</t>
  </si>
  <si>
    <t>bicornis</t>
  </si>
  <si>
    <t>Zacate macolla/macoya</t>
  </si>
  <si>
    <t>tall bunch grass</t>
  </si>
  <si>
    <t>AXO_SCO</t>
  </si>
  <si>
    <t>Axonopus</t>
  </si>
  <si>
    <t>scoparius</t>
  </si>
  <si>
    <t xml:space="preserve">(Flüggé) Kuhlm.             </t>
  </si>
  <si>
    <t>Imperial</t>
  </si>
  <si>
    <t>tall glabrous grass</t>
  </si>
  <si>
    <t>CYN_DAC</t>
  </si>
  <si>
    <t>Cynodon</t>
  </si>
  <si>
    <t>dactylon</t>
  </si>
  <si>
    <t xml:space="preserve">(L.) Pers.             </t>
  </si>
  <si>
    <t>Zacate estrella africana</t>
  </si>
  <si>
    <t>low, creeping grass</t>
  </si>
  <si>
    <t>earlier called Cyn ple, update ID from Fede</t>
  </si>
  <si>
    <t>DIG_ABY</t>
  </si>
  <si>
    <t>Digitaria</t>
  </si>
  <si>
    <t>abyssinica</t>
  </si>
  <si>
    <t xml:space="preserve">(Hochst. ex  A.  Rich.)  Stapf       </t>
  </si>
  <si>
    <t>ERI_POL</t>
  </si>
  <si>
    <t>Eriochloa</t>
  </si>
  <si>
    <t>polystachya</t>
  </si>
  <si>
    <t>Zacate estrella</t>
  </si>
  <si>
    <t>no ID in 2007</t>
  </si>
  <si>
    <t>HOM_ATU</t>
  </si>
  <si>
    <t>Homolepis</t>
  </si>
  <si>
    <t>aturensis</t>
  </si>
  <si>
    <t xml:space="preserve">(Kunth) Chase             </t>
  </si>
  <si>
    <t>Hom alt</t>
  </si>
  <si>
    <t>Zacate morado</t>
  </si>
  <si>
    <t>448, 484</t>
  </si>
  <si>
    <t>HYP_RUF</t>
  </si>
  <si>
    <t>Hyparrhenia</t>
  </si>
  <si>
    <t>rufa</t>
  </si>
  <si>
    <t xml:space="preserve">(Nees) Stapf              </t>
  </si>
  <si>
    <t>ICH_NEM</t>
  </si>
  <si>
    <t>Ichnanthus</t>
  </si>
  <si>
    <t>nemorosus</t>
  </si>
  <si>
    <t xml:space="preserve">(Sw.) Döll             </t>
  </si>
  <si>
    <t>Commelina grass</t>
  </si>
  <si>
    <t>leaf surrounds stem</t>
  </si>
  <si>
    <t>in 2009 called Commelina grass this, shorter leaves</t>
  </si>
  <si>
    <t>513, 573</t>
  </si>
  <si>
    <t>ISA_ARU</t>
  </si>
  <si>
    <t>Isachne</t>
  </si>
  <si>
    <t>arundinacea</t>
  </si>
  <si>
    <t xml:space="preserve">(Sw.) Griseb.             </t>
  </si>
  <si>
    <t>LASIACIS</t>
  </si>
  <si>
    <t>Lasiacis</t>
  </si>
  <si>
    <t>MEL_MIN</t>
  </si>
  <si>
    <t>Melinis</t>
  </si>
  <si>
    <t>minutiflora</t>
  </si>
  <si>
    <t xml:space="preserve">Beauv.              </t>
  </si>
  <si>
    <t>greasy grass</t>
  </si>
  <si>
    <t>calinguero gordura</t>
  </si>
  <si>
    <t>Kew (air dry)</t>
  </si>
  <si>
    <t>OPL_BUR</t>
  </si>
  <si>
    <t>Oplismenus</t>
  </si>
  <si>
    <t>burmannii</t>
  </si>
  <si>
    <t xml:space="preserve">(Retz.) P.  Beauv.           </t>
  </si>
  <si>
    <t>Peludo rastrero</t>
  </si>
  <si>
    <t>PAN_POL</t>
  </si>
  <si>
    <t>Panicum</t>
  </si>
  <si>
    <t>polygonatum</t>
  </si>
  <si>
    <t xml:space="preserve">Schrad.              </t>
  </si>
  <si>
    <t>Digitaria, nudos gruesos at GN</t>
  </si>
  <si>
    <t>491, 550</t>
  </si>
  <si>
    <t>PAS_CON</t>
  </si>
  <si>
    <t>Paspalum</t>
  </si>
  <si>
    <t>conjugatum</t>
  </si>
  <si>
    <t xml:space="preserve">P.J. Bergius             </t>
  </si>
  <si>
    <t>Zacate Y</t>
  </si>
  <si>
    <t>PAS_DEC</t>
  </si>
  <si>
    <t>decumbens</t>
  </si>
  <si>
    <t>CLNG</t>
  </si>
  <si>
    <t>PAS_PAN</t>
  </si>
  <si>
    <t>paniculatum</t>
  </si>
  <si>
    <t>zacate espinosa, glauchid grass, Zacate peludo</t>
  </si>
  <si>
    <t>PAS_PLI</t>
  </si>
  <si>
    <t>plicatulum</t>
  </si>
  <si>
    <t xml:space="preserve">Michx.              </t>
  </si>
  <si>
    <t>paspalum erecto, zacate generoso</t>
  </si>
  <si>
    <t>At GN in 2007</t>
  </si>
  <si>
    <t>PAS_VIR</t>
  </si>
  <si>
    <t>virgatum</t>
  </si>
  <si>
    <t>Zacate robusto</t>
  </si>
  <si>
    <t>JG - PB - Fede</t>
  </si>
  <si>
    <t>PEN_PUR</t>
  </si>
  <si>
    <t>Pennisetum</t>
  </si>
  <si>
    <t>purpureum</t>
  </si>
  <si>
    <t xml:space="preserve">Schumach.              </t>
  </si>
  <si>
    <t>SAC_OFF</t>
  </si>
  <si>
    <t>Saccharum</t>
  </si>
  <si>
    <t>officinarum</t>
  </si>
  <si>
    <t>SPO_IND</t>
  </si>
  <si>
    <t>Sporobolus</t>
  </si>
  <si>
    <t>indicus</t>
  </si>
  <si>
    <t xml:space="preserve">(L.) R.  Br.           </t>
  </si>
  <si>
    <t>URO_BRI</t>
  </si>
  <si>
    <t>Urochloa</t>
  </si>
  <si>
    <t>brizantha</t>
  </si>
  <si>
    <t xml:space="preserve">(Hochst. ex  A.  Rich.)  R.D.  Webster     </t>
  </si>
  <si>
    <t>Grass 4, Brachiaria</t>
  </si>
  <si>
    <t>Used at JG and Gen</t>
  </si>
  <si>
    <t>MON_PIT</t>
  </si>
  <si>
    <t>Polygalaceae</t>
  </si>
  <si>
    <t>Monnina</t>
  </si>
  <si>
    <t xml:space="preserve">Chodat              </t>
  </si>
  <si>
    <t>MON_XAL</t>
  </si>
  <si>
    <t>Jaboncillo Azul, Pol cos, Monnina xalapensis</t>
  </si>
  <si>
    <t>POL_PAN</t>
  </si>
  <si>
    <t>Polygala</t>
  </si>
  <si>
    <t>SEC_DIV</t>
  </si>
  <si>
    <t>Securidaca </t>
  </si>
  <si>
    <t xml:space="preserve">(L.) S.F.Blake              </t>
  </si>
  <si>
    <r>
      <t xml:space="preserve">Una de gato, </t>
    </r>
    <r>
      <rPr>
        <i/>
        <sz val="11"/>
        <rFont val="Calibri"/>
        <family val="2"/>
        <charset val="1"/>
      </rPr>
      <t>Securidaca sylvestris</t>
    </r>
  </si>
  <si>
    <t>COCCOLOBA</t>
  </si>
  <si>
    <t>Polygonaceae</t>
  </si>
  <si>
    <t>Coccoloba</t>
  </si>
  <si>
    <t>COC_TUE</t>
  </si>
  <si>
    <t>RUMEX</t>
  </si>
  <si>
    <t>Rumex</t>
  </si>
  <si>
    <t>ARD_COM</t>
  </si>
  <si>
    <t>Primulaceae</t>
  </si>
  <si>
    <t>Ardisia</t>
  </si>
  <si>
    <t>compressa </t>
  </si>
  <si>
    <t>ARD_DUN</t>
  </si>
  <si>
    <t>dunlapiana</t>
  </si>
  <si>
    <t xml:space="preserve">P.H. Allen             </t>
  </si>
  <si>
    <t>ARD_FUR</t>
  </si>
  <si>
    <t>furfuracea</t>
  </si>
  <si>
    <t>ARD_OPE</t>
  </si>
  <si>
    <t>opegrapha </t>
  </si>
  <si>
    <t>ARDISIA</t>
  </si>
  <si>
    <t>Tukuico</t>
  </si>
  <si>
    <t>27, 186</t>
  </si>
  <si>
    <t>ARD_STA</t>
  </si>
  <si>
    <t>standleyana</t>
  </si>
  <si>
    <t>MYR_COR</t>
  </si>
  <si>
    <t>Myrsine</t>
  </si>
  <si>
    <t>coriacea</t>
  </si>
  <si>
    <t xml:space="preserve">(Sw.) R.  Br.  ex  Roem.  &amp;  Schult.   </t>
  </si>
  <si>
    <t>collected 5 samples</t>
  </si>
  <si>
    <t>MYR_PEL</t>
  </si>
  <si>
    <t>pellucidopunctata</t>
  </si>
  <si>
    <t>DRY_BRO</t>
  </si>
  <si>
    <t>Putranjivaceae</t>
  </si>
  <si>
    <t>Drypetes</t>
  </si>
  <si>
    <t>brownii</t>
  </si>
  <si>
    <t>CLE_GRO</t>
  </si>
  <si>
    <t>Ranunculaceae</t>
  </si>
  <si>
    <t>Clematis</t>
  </si>
  <si>
    <t>grossa</t>
  </si>
  <si>
    <t>CLE_HAE</t>
  </si>
  <si>
    <t>Clematis haenkeana</t>
  </si>
  <si>
    <t>Jan. 15 - Fede dice el Nombre Clematis grossa Benth., proviene del Manual de Plantas de Costa Rica vol VII pag 406. El cual propone este nombre como una división de Cle hae.</t>
  </si>
  <si>
    <t>FRA_PEN</t>
  </si>
  <si>
    <t>Rhamnaceae</t>
  </si>
  <si>
    <t>Frangula</t>
  </si>
  <si>
    <t xml:space="preserve">A. Pool             </t>
  </si>
  <si>
    <t>RHA_SPH</t>
  </si>
  <si>
    <t>one seedling of this in EC, is a tree</t>
  </si>
  <si>
    <t>GOU_POL</t>
  </si>
  <si>
    <t>Gouania</t>
  </si>
  <si>
    <t>polygama</t>
  </si>
  <si>
    <t xml:space="preserve">(Jacq.) Urb.             </t>
  </si>
  <si>
    <t>common hairy Rhamnaceae vine, need to correct this on sheets</t>
  </si>
  <si>
    <t>Kew (venezuela)</t>
  </si>
  <si>
    <t>CAS_ELL</t>
  </si>
  <si>
    <t>Rhizophoraceae</t>
  </si>
  <si>
    <t>Cassipourea</t>
  </si>
  <si>
    <t>elliptica</t>
  </si>
  <si>
    <t xml:space="preserve">(Sw.) Poir.             </t>
  </si>
  <si>
    <t>Wright (N=30)</t>
  </si>
  <si>
    <t>ERI_JAP</t>
  </si>
  <si>
    <t>Rosaceae</t>
  </si>
  <si>
    <t>Eriobotrya</t>
  </si>
  <si>
    <t xml:space="preserve">(Thunb.) Lindl.             </t>
  </si>
  <si>
    <t>Níspero</t>
  </si>
  <si>
    <t>PRU_OCC</t>
  </si>
  <si>
    <t>Prunus</t>
  </si>
  <si>
    <t>occidentalis </t>
  </si>
  <si>
    <t>PRU_SP_A</t>
  </si>
  <si>
    <t>sp. A</t>
  </si>
  <si>
    <t>Prunus brachibotrya, SPA = species A, this is a recognized name in the Manual of Costa Rica</t>
  </si>
  <si>
    <t>OM-PB, FBO says Este esel nombre correcto para esta especie según MPCR Vol VII</t>
  </si>
  <si>
    <t>PRUNUS</t>
  </si>
  <si>
    <t>RUB_ROS</t>
  </si>
  <si>
    <t>Rubus</t>
  </si>
  <si>
    <t>rosifolius</t>
  </si>
  <si>
    <t xml:space="preserve">Sm.              </t>
  </si>
  <si>
    <t>Moles and Westoby 2006 Oikos - Appendix</t>
  </si>
  <si>
    <t>RUBUS</t>
  </si>
  <si>
    <t>RUB_URT</t>
  </si>
  <si>
    <t>urticifolius </t>
  </si>
  <si>
    <t xml:space="preserve">Poir.              </t>
  </si>
  <si>
    <t>CIN_PUB</t>
  </si>
  <si>
    <t>Rubiaceae</t>
  </si>
  <si>
    <t>Cinchona</t>
  </si>
  <si>
    <t>COF_ARA</t>
  </si>
  <si>
    <t>Coffea</t>
  </si>
  <si>
    <t>arabica</t>
  </si>
  <si>
    <t>Mean from TRY values (Onoda, Penuelas, Shipley)</t>
  </si>
  <si>
    <t>Chave - Africa - ref 72</t>
  </si>
  <si>
    <t>CON_COR</t>
  </si>
  <si>
    <t>Condaminea</t>
  </si>
  <si>
    <t>corymbosa</t>
  </si>
  <si>
    <t xml:space="preserve">(Ruiz &amp;  Pav.)  DC.         </t>
  </si>
  <si>
    <t>ELA_AUR</t>
  </si>
  <si>
    <t>Elaeagia</t>
  </si>
  <si>
    <t>ELA_KAR</t>
  </si>
  <si>
    <t>karstenii</t>
  </si>
  <si>
    <t>GAL_HYP</t>
  </si>
  <si>
    <t>Galium</t>
  </si>
  <si>
    <t>hypocarpium</t>
  </si>
  <si>
    <t xml:space="preserve">(L.) Endl.  ex  Griseb.         </t>
  </si>
  <si>
    <t>GON_ROS</t>
  </si>
  <si>
    <t>Gonzalagunia</t>
  </si>
  <si>
    <t>rosea</t>
  </si>
  <si>
    <t>52 and 180</t>
  </si>
  <si>
    <t>GUE_CRI</t>
  </si>
  <si>
    <t>Guettarda</t>
  </si>
  <si>
    <t>crispiflora</t>
  </si>
  <si>
    <t>GUE_TOU</t>
  </si>
  <si>
    <t>tournefortiopsis</t>
  </si>
  <si>
    <t>HAM_MAC</t>
  </si>
  <si>
    <t>Hamelia</t>
  </si>
  <si>
    <t xml:space="preserve">Little              </t>
  </si>
  <si>
    <t>MM - small tree</t>
  </si>
  <si>
    <t>HAM_PAT</t>
  </si>
  <si>
    <t>Note that in 2021 we agreed that it was a shrub</t>
  </si>
  <si>
    <t>HOF_LON</t>
  </si>
  <si>
    <t>Hoffmannia</t>
  </si>
  <si>
    <t>longipetiolata </t>
  </si>
  <si>
    <t xml:space="preserve">Pol.              </t>
  </si>
  <si>
    <t>HOF_PUS</t>
  </si>
  <si>
    <t>pustulata </t>
  </si>
  <si>
    <t xml:space="preserve">Dwyer              </t>
  </si>
  <si>
    <t xml:space="preserve">Ladenbergia </t>
  </si>
  <si>
    <t xml:space="preserve">brenesii </t>
  </si>
  <si>
    <t>NOT_ULI</t>
  </si>
  <si>
    <t>Notopleura</t>
  </si>
  <si>
    <t>uliginosa</t>
  </si>
  <si>
    <t xml:space="preserve"> (Sw.) Bremek.              </t>
  </si>
  <si>
    <t>PAL_ALA</t>
  </si>
  <si>
    <t>Palicourea</t>
  </si>
  <si>
    <t>alajuelensis</t>
  </si>
  <si>
    <t xml:space="preserve">C.M. Taylor             </t>
  </si>
  <si>
    <t>PAL_PAD</t>
  </si>
  <si>
    <t>padifolia</t>
  </si>
  <si>
    <t>(Willd. ex  Roem.  &amp;  Schult.) C.M. Taylor &amp; Lorence</t>
  </si>
  <si>
    <t>Orange flowered Rub.</t>
  </si>
  <si>
    <t>WDD database - average of two SA congener</t>
  </si>
  <si>
    <t>POS_COS</t>
  </si>
  <si>
    <t>Posoqueria</t>
  </si>
  <si>
    <t xml:space="preserve">C.M. Taylor              </t>
  </si>
  <si>
    <t>POS_LAT</t>
  </si>
  <si>
    <t>Wright (.542 from Chave - Central America - ref 30)</t>
  </si>
  <si>
    <t>PSY_GRA</t>
  </si>
  <si>
    <t>Psychotria</t>
  </si>
  <si>
    <t>graciliflora </t>
  </si>
  <si>
    <t>wright (N=6)</t>
  </si>
  <si>
    <t>PSY_HIS</t>
  </si>
  <si>
    <t>hispidula </t>
  </si>
  <si>
    <t xml:space="preserve">Standl. ex Steyerm.             </t>
  </si>
  <si>
    <t>PSY_LIM</t>
  </si>
  <si>
    <t>limonensis</t>
  </si>
  <si>
    <t xml:space="preserve">K. Krause             </t>
  </si>
  <si>
    <t>PSY_NUB</t>
  </si>
  <si>
    <t>nubiphila</t>
  </si>
  <si>
    <t>PSY_PAN</t>
  </si>
  <si>
    <t>PSY_OFF</t>
  </si>
  <si>
    <t>officinalis</t>
  </si>
  <si>
    <t xml:space="preserve">(Aubl.) Raeusch.             </t>
  </si>
  <si>
    <t>PSY_PUB</t>
  </si>
  <si>
    <t>PSY_STE</t>
  </si>
  <si>
    <t>steyermarkii </t>
  </si>
  <si>
    <t>RIC_SCA</t>
  </si>
  <si>
    <t>Richardia</t>
  </si>
  <si>
    <t>scabra</t>
  </si>
  <si>
    <t>Rubiaceae 1</t>
  </si>
  <si>
    <t>small white Rubiaceae like Spermacoce</t>
  </si>
  <si>
    <t>SAB_PAN</t>
  </si>
  <si>
    <t>Sabicea</t>
  </si>
  <si>
    <t xml:space="preserve">Wernham              </t>
  </si>
  <si>
    <t>SG; BR- ISA - 2011 - Fede</t>
  </si>
  <si>
    <t>SPE_OCY</t>
  </si>
  <si>
    <t>Spermacoce</t>
  </si>
  <si>
    <t>ocymifolia </t>
  </si>
  <si>
    <t xml:space="preserve">Willd. ex Roem.  &amp;  Schult.         </t>
  </si>
  <si>
    <t>SPE_REM</t>
  </si>
  <si>
    <t>remota</t>
  </si>
  <si>
    <t>SPE_ASS</t>
  </si>
  <si>
    <t>Spermacoce assurgens</t>
  </si>
  <si>
    <t>SPERMACOCE</t>
  </si>
  <si>
    <t>Spe ocy</t>
  </si>
  <si>
    <t>only in Sparks islands, will probably need to lump with Spe ass as 2010 is the first year we've separated the two</t>
  </si>
  <si>
    <t>CIT_AUR</t>
  </si>
  <si>
    <t>Rutaceae</t>
  </si>
  <si>
    <t>Citrus</t>
  </si>
  <si>
    <t>aurantifolia </t>
  </si>
  <si>
    <t>Swingle</t>
  </si>
  <si>
    <t>CIT_SIN</t>
  </si>
  <si>
    <t>sinensis</t>
  </si>
  <si>
    <t xml:space="preserve">(L.) Osbeck             </t>
  </si>
  <si>
    <t>orange trees</t>
  </si>
  <si>
    <t>WDD database - refs 26, 136</t>
  </si>
  <si>
    <t>CITRUS</t>
  </si>
  <si>
    <t>ZAN_ACU</t>
  </si>
  <si>
    <t>Zanthoxylum</t>
  </si>
  <si>
    <t>acuminatum</t>
  </si>
  <si>
    <t xml:space="preserve">(Sw.) Sw.             </t>
  </si>
  <si>
    <t>MEL_ALL</t>
  </si>
  <si>
    <t>Sabiaceae</t>
  </si>
  <si>
    <t>Meliosma</t>
  </si>
  <si>
    <t>MEL_GLA</t>
  </si>
  <si>
    <t xml:space="preserve">(Liebm.) Urb.             </t>
  </si>
  <si>
    <t>MEL_IDI</t>
  </si>
  <si>
    <t>idiopoda </t>
  </si>
  <si>
    <t xml:space="preserve">S.F. Blake              </t>
  </si>
  <si>
    <t>CAS_ARG</t>
  </si>
  <si>
    <t>Salicaceae</t>
  </si>
  <si>
    <t>Casearia</t>
  </si>
  <si>
    <t>arguta </t>
  </si>
  <si>
    <t>Kunth</t>
  </si>
  <si>
    <t>CAS_SYL</t>
  </si>
  <si>
    <t>sylvestris</t>
  </si>
  <si>
    <t>Wright (N=23)</t>
  </si>
  <si>
    <t>Wright (.660 from Chave - Central America - ref 116)</t>
  </si>
  <si>
    <t>CAS_TAC</t>
  </si>
  <si>
    <t>tacanensis</t>
  </si>
  <si>
    <t>HAS_FLO</t>
  </si>
  <si>
    <t>Hasseltia</t>
  </si>
  <si>
    <t>floribunda</t>
  </si>
  <si>
    <t>Wright (Same from Chave - Central America - ref 116)</t>
  </si>
  <si>
    <t>LUN_MEX</t>
  </si>
  <si>
    <t>Lunania</t>
  </si>
  <si>
    <t xml:space="preserve">Brandegee              </t>
  </si>
  <si>
    <t>Wright (same from Chave - Mexico - ref 23)</t>
  </si>
  <si>
    <t>PLE_LIN</t>
  </si>
  <si>
    <t>Pleuranthodendron</t>
  </si>
  <si>
    <t>lindenii</t>
  </si>
  <si>
    <t xml:space="preserve">(Turcz.) Sleumer             </t>
  </si>
  <si>
    <t>XYL_CHL</t>
  </si>
  <si>
    <t>Xylosma</t>
  </si>
  <si>
    <t>chlorantha</t>
  </si>
  <si>
    <t>XYLOSMA</t>
  </si>
  <si>
    <t>PHO_PIP</t>
  </si>
  <si>
    <t>Santalaceae</t>
  </si>
  <si>
    <t>Phoradendron</t>
  </si>
  <si>
    <t>piperoides</t>
  </si>
  <si>
    <t>(Kunth) Trel.</t>
  </si>
  <si>
    <t>ALL_PSI</t>
  </si>
  <si>
    <t>Sapindaceae</t>
  </si>
  <si>
    <t>Allophylus</t>
  </si>
  <si>
    <t>psilospermus</t>
  </si>
  <si>
    <t>Cortez</t>
  </si>
  <si>
    <t>compound leaves</t>
  </si>
  <si>
    <t>Wright (N=25)</t>
  </si>
  <si>
    <t>Wright (.471 from WDD database - average of seven South American congeners - refs 44, 48, 66, 170, 184)</t>
  </si>
  <si>
    <t>BIL_ROS</t>
  </si>
  <si>
    <t>Billia</t>
  </si>
  <si>
    <t>rosea </t>
  </si>
  <si>
    <t xml:space="preserve">(Planch. &amp; Linden)  C.  Ulloa  &amp;  P.  Jørg.   </t>
  </si>
  <si>
    <t>CUP_LIV</t>
  </si>
  <si>
    <t>Cupania</t>
  </si>
  <si>
    <t>livida</t>
  </si>
  <si>
    <t xml:space="preserve">(Radlk.) Croat             </t>
  </si>
  <si>
    <t>Lloyd</t>
  </si>
  <si>
    <t>CUP_RUF</t>
  </si>
  <si>
    <t>CUPANIA</t>
  </si>
  <si>
    <t>PAU_ALA</t>
  </si>
  <si>
    <t>Paullinia</t>
  </si>
  <si>
    <t>alata</t>
  </si>
  <si>
    <t xml:space="preserve">G. Don             </t>
  </si>
  <si>
    <t>PAU_BRA</t>
  </si>
  <si>
    <t>bracteosa</t>
  </si>
  <si>
    <t>PAU_CAP</t>
  </si>
  <si>
    <t>capreolata</t>
  </si>
  <si>
    <t xml:space="preserve">(Aubl.) Radlk.             </t>
  </si>
  <si>
    <t>PAU_FAG</t>
  </si>
  <si>
    <t>Paullinia faginea</t>
  </si>
  <si>
    <t>PAULLINIA</t>
  </si>
  <si>
    <t>SER_RAC</t>
  </si>
  <si>
    <t>Serjania</t>
  </si>
  <si>
    <t>SERJANIA</t>
  </si>
  <si>
    <t>POU_FOS</t>
  </si>
  <si>
    <t>Sapotaceae</t>
  </si>
  <si>
    <t>Pouteria </t>
  </si>
  <si>
    <t>fossicola </t>
  </si>
  <si>
    <t>Cronquist</t>
  </si>
  <si>
    <t>Sarcaulus</t>
  </si>
  <si>
    <t>SAR_BRA, SARCAULOS</t>
  </si>
  <si>
    <t>SID_POR</t>
  </si>
  <si>
    <t>Sideroxylon</t>
  </si>
  <si>
    <t>portoricense </t>
  </si>
  <si>
    <t>SELAGINELLA</t>
  </si>
  <si>
    <t>Selaginellaceae</t>
  </si>
  <si>
    <t>Selaginella</t>
  </si>
  <si>
    <t>Bryophytes, Moss</t>
  </si>
  <si>
    <t>mostly Selaginella</t>
  </si>
  <si>
    <t>count them as herbs, Sparks y Alexis</t>
  </si>
  <si>
    <t>SIP_GES</t>
  </si>
  <si>
    <t>Siparunaceae</t>
  </si>
  <si>
    <t>Siparuna</t>
  </si>
  <si>
    <t>gesnerioides</t>
  </si>
  <si>
    <t xml:space="preserve">(Kunth) A.  DC.           </t>
  </si>
  <si>
    <t>Sip tet</t>
  </si>
  <si>
    <r>
      <t xml:space="preserve">Siparuna tetraceroides </t>
    </r>
    <r>
      <rPr>
        <sz val="11"/>
        <rFont val="Calibri"/>
        <family val="2"/>
        <charset val="1"/>
      </rPr>
      <t xml:space="preserve">Perkins  </t>
    </r>
  </si>
  <si>
    <t>SIP_PAU</t>
  </si>
  <si>
    <t>pauciflora</t>
  </si>
  <si>
    <t xml:space="preserve">(Beurl.) A.  DC.           </t>
  </si>
  <si>
    <t>Limoncillo</t>
  </si>
  <si>
    <t>SIPARUNA</t>
  </si>
  <si>
    <t>SMI_DOM</t>
  </si>
  <si>
    <t>Smilacaceae</t>
  </si>
  <si>
    <t>Smilax</t>
  </si>
  <si>
    <t>domingensis</t>
  </si>
  <si>
    <t>SMI_MOL</t>
  </si>
  <si>
    <t>mollis </t>
  </si>
  <si>
    <t xml:space="preserve">Humb. &amp; Bonpl. ex  Willd.         </t>
  </si>
  <si>
    <t>SMI_SPI</t>
  </si>
  <si>
    <t>spinosa </t>
  </si>
  <si>
    <t>ACN_ARB</t>
  </si>
  <si>
    <t>Solanaceae</t>
  </si>
  <si>
    <t>Acnistus</t>
  </si>
  <si>
    <t>Guitite</t>
  </si>
  <si>
    <t>CES_DON</t>
  </si>
  <si>
    <t>Cestrum</t>
  </si>
  <si>
    <t>donnell-smithii</t>
  </si>
  <si>
    <t xml:space="preserve">Francey              </t>
  </si>
  <si>
    <t>CES_MIC</t>
  </si>
  <si>
    <t>microcalyx </t>
  </si>
  <si>
    <t>CES_RAC</t>
  </si>
  <si>
    <t>racemosum</t>
  </si>
  <si>
    <t>CES_SCH</t>
  </si>
  <si>
    <t>schlechtendalii</t>
  </si>
  <si>
    <t xml:space="preserve">G. Don              </t>
  </si>
  <si>
    <t>CESTRUM</t>
  </si>
  <si>
    <t>Cafecillo</t>
  </si>
  <si>
    <t>JAL_PRO</t>
  </si>
  <si>
    <t>Jaltomata</t>
  </si>
  <si>
    <t>procumbens</t>
  </si>
  <si>
    <t xml:space="preserve">(Cav.) J.L.  Gentry           </t>
  </si>
  <si>
    <t>Physalis</t>
  </si>
  <si>
    <t>MM - 2007</t>
  </si>
  <si>
    <t>LYC_BEC</t>
  </si>
  <si>
    <t>Lycianthes</t>
  </si>
  <si>
    <t>beckneriana</t>
  </si>
  <si>
    <t xml:space="preserve">D'Arcy              </t>
  </si>
  <si>
    <t>LYC_SYN</t>
  </si>
  <si>
    <t>synanthera </t>
  </si>
  <si>
    <t xml:space="preserve">(Sendtn.) Bitter              </t>
  </si>
  <si>
    <t>NIC_TAB</t>
  </si>
  <si>
    <t>Nicotiana</t>
  </si>
  <si>
    <t>tabacum</t>
  </si>
  <si>
    <t>PHYSALIS</t>
  </si>
  <si>
    <t>Nicandra physaloides</t>
  </si>
  <si>
    <t>SOL_ACC</t>
  </si>
  <si>
    <t>Solanum</t>
  </si>
  <si>
    <t>accrescens</t>
  </si>
  <si>
    <t xml:space="preserve">Standl. &amp;  C.V.  Morton         </t>
  </si>
  <si>
    <t>SOL_ACE</t>
  </si>
  <si>
    <t>acerifolium</t>
  </si>
  <si>
    <t xml:space="preserve">Dunal              </t>
  </si>
  <si>
    <t>Sol 8</t>
  </si>
  <si>
    <t>SOL_AME</t>
  </si>
  <si>
    <t>americanum</t>
  </si>
  <si>
    <t>SOL_APH</t>
  </si>
  <si>
    <t>aphyodendron</t>
  </si>
  <si>
    <t xml:space="preserve">S. Knapp              </t>
  </si>
  <si>
    <t>Sol 5</t>
  </si>
  <si>
    <t>SOL_ATU</t>
  </si>
  <si>
    <t>aturense</t>
  </si>
  <si>
    <t>SOL_BET</t>
  </si>
  <si>
    <t>betaceum</t>
  </si>
  <si>
    <t>Cav.</t>
  </si>
  <si>
    <t>tomate de palo</t>
  </si>
  <si>
    <t>SOL_ERY</t>
  </si>
  <si>
    <t>erythrotrichum</t>
  </si>
  <si>
    <t xml:space="preserve">Fernald              </t>
  </si>
  <si>
    <t>SOL_LAN</t>
  </si>
  <si>
    <t xml:space="preserve">Sessé &amp;  Moc.           </t>
  </si>
  <si>
    <t>Solanum 7</t>
  </si>
  <si>
    <t>SOL_NUD</t>
  </si>
  <si>
    <t>nudum</t>
  </si>
  <si>
    <t>SOL_QUI</t>
  </si>
  <si>
    <t>quitoense</t>
  </si>
  <si>
    <t>Reserve in 2009</t>
  </si>
  <si>
    <t>SOL_RUD</t>
  </si>
  <si>
    <t>rudepannum</t>
  </si>
  <si>
    <t>SOLANUM</t>
  </si>
  <si>
    <t>SOL_SPL</t>
  </si>
  <si>
    <t xml:space="preserve">(Dunal) Bohs             </t>
  </si>
  <si>
    <t>SOL_CIR</t>
  </si>
  <si>
    <t>Solanum circinatum</t>
  </si>
  <si>
    <t>SOL_TOR</t>
  </si>
  <si>
    <t>torvum</t>
  </si>
  <si>
    <t>Kew (panama)</t>
  </si>
  <si>
    <t>SOL_UMB</t>
  </si>
  <si>
    <t>solanum rugosa</t>
  </si>
  <si>
    <t>Chave - South America - ref 48</t>
  </si>
  <si>
    <t>WIT_SOL</t>
  </si>
  <si>
    <t>Witheringia</t>
  </si>
  <si>
    <t>solanacea</t>
  </si>
  <si>
    <t xml:space="preserve">L'Hér.              </t>
  </si>
  <si>
    <t>also seed #21</t>
  </si>
  <si>
    <t>STA_OCC</t>
  </si>
  <si>
    <t>Staphyleaceae</t>
  </si>
  <si>
    <t>Staphylea</t>
  </si>
  <si>
    <t>TUR_OCC</t>
  </si>
  <si>
    <t>Wright (notes that data were variable for this species)</t>
  </si>
  <si>
    <t>Wright (.340 from WDD database - Central American sample - ref 44)</t>
  </si>
  <si>
    <t>GOR_FRU</t>
  </si>
  <si>
    <t>Theaceae</t>
  </si>
  <si>
    <t>Gordonia</t>
  </si>
  <si>
    <t>fruticosa</t>
  </si>
  <si>
    <t xml:space="preserve">(Schrad.) H.  Keng           </t>
  </si>
  <si>
    <t>SDJ, campano</t>
  </si>
  <si>
    <t>Wright (.519 from Chave - South America - refs 30, 45)</t>
  </si>
  <si>
    <t>ULM_MEX</t>
  </si>
  <si>
    <t>Ulmaceae</t>
  </si>
  <si>
    <t>Ulmus</t>
  </si>
  <si>
    <t xml:space="preserve">(Liebm.) Planch.             </t>
  </si>
  <si>
    <t>cenizo, tirra</t>
  </si>
  <si>
    <t>BOHEMERIA</t>
  </si>
  <si>
    <t>Urticaceae</t>
  </si>
  <si>
    <t>Boehmeria</t>
  </si>
  <si>
    <t>Bohemeria</t>
  </si>
  <si>
    <t>HR-2008</t>
  </si>
  <si>
    <t>CEC_ANG</t>
  </si>
  <si>
    <t>Cecropia</t>
  </si>
  <si>
    <t>angustifolia </t>
  </si>
  <si>
    <t xml:space="preserve">Trécul              </t>
  </si>
  <si>
    <t>CEC_INS</t>
  </si>
  <si>
    <t>Boukili-LS (Bryan Finnegan has)</t>
  </si>
  <si>
    <t>Wright (.318 from WDD database - refs 167, 168)</t>
  </si>
  <si>
    <t>CEC_OBT</t>
  </si>
  <si>
    <t>obtusifolia</t>
  </si>
  <si>
    <t xml:space="preserve">Bertol.              </t>
  </si>
  <si>
    <t>Cecropia 1</t>
  </si>
  <si>
    <t>anillos en el tronco</t>
  </si>
  <si>
    <t>Boukili-LC (Joe Wright has)</t>
  </si>
  <si>
    <t>Wright (.260 from WDD database - South American sample - ref 430)</t>
  </si>
  <si>
    <t>CEC_PEL</t>
  </si>
  <si>
    <t>peltata</t>
  </si>
  <si>
    <t>Cecropia 2</t>
  </si>
  <si>
    <t>Wright (.295 from WDD database - two Central American samples - 111, 196)</t>
  </si>
  <si>
    <t>CECROPIA</t>
  </si>
  <si>
    <t>MYR_LON</t>
  </si>
  <si>
    <t>Myriocarpa</t>
  </si>
  <si>
    <t>longipes</t>
  </si>
  <si>
    <t>PHE_RUG</t>
  </si>
  <si>
    <t>Phenax</t>
  </si>
  <si>
    <t>rugosus</t>
  </si>
  <si>
    <t xml:space="preserve">(Poir.) Wedd.             </t>
  </si>
  <si>
    <t>PHE_SON</t>
  </si>
  <si>
    <t>sonneratii</t>
  </si>
  <si>
    <t>PIL_HYA</t>
  </si>
  <si>
    <t>Pilea</t>
  </si>
  <si>
    <t>hyalina</t>
  </si>
  <si>
    <t xml:space="preserve">Fenzl              </t>
  </si>
  <si>
    <t>PIL_PUB</t>
  </si>
  <si>
    <t>PILEA</t>
  </si>
  <si>
    <t>pequena hierba</t>
  </si>
  <si>
    <t>HB - 2008</t>
  </si>
  <si>
    <t>URE_BAC</t>
  </si>
  <si>
    <t>Urera</t>
  </si>
  <si>
    <t>baccifera </t>
  </si>
  <si>
    <t xml:space="preserve">(L.) Gaudich. ex  Wedd.           </t>
  </si>
  <si>
    <t>URE_LIA</t>
  </si>
  <si>
    <t>lianoides</t>
  </si>
  <si>
    <t xml:space="preserve">A.K. Monro &amp; Al. Rodr.       </t>
  </si>
  <si>
    <t>Urera lianoides</t>
  </si>
  <si>
    <t>MM&lt; FBO says Estees el nuevo nombre para estaespecie MPCR Vol VIII.</t>
  </si>
  <si>
    <t>CIT_COP</t>
  </si>
  <si>
    <t>Verbenaceae</t>
  </si>
  <si>
    <t>Citharexylum</t>
  </si>
  <si>
    <t>cooperi</t>
  </si>
  <si>
    <t>CITA_COS</t>
  </si>
  <si>
    <t>LAN_CAM</t>
  </si>
  <si>
    <t>Lantana</t>
  </si>
  <si>
    <t>camara</t>
  </si>
  <si>
    <t>LAN_TRI</t>
  </si>
  <si>
    <t>trifolia</t>
  </si>
  <si>
    <t>LIP_MYR</t>
  </si>
  <si>
    <t>Lippia</t>
  </si>
  <si>
    <t>myriocephala</t>
  </si>
  <si>
    <t xml:space="preserve">Schltdl &amp;  Cham  (Gomez-Laurito)       </t>
  </si>
  <si>
    <t>Lip tor</t>
  </si>
  <si>
    <t>mistakenly called some seedling Lip tor in the past but is all Lip myr</t>
  </si>
  <si>
    <t>VER_LIT</t>
  </si>
  <si>
    <t>Verbena</t>
  </si>
  <si>
    <t>litoralis</t>
  </si>
  <si>
    <t>BB IMA</t>
  </si>
  <si>
    <t>VIO_STI</t>
  </si>
  <si>
    <t>Violacaeae</t>
  </si>
  <si>
    <t>Viola</t>
  </si>
  <si>
    <t>stipularis</t>
  </si>
  <si>
    <t>Sau ere</t>
  </si>
  <si>
    <r>
      <t xml:space="preserve">Sauvagesia erecta </t>
    </r>
    <r>
      <rPr>
        <sz val="11"/>
        <rFont val="Calibri"/>
        <family val="2"/>
        <charset val="1"/>
      </rPr>
      <t>L.</t>
    </r>
  </si>
  <si>
    <t>BR - 2009 - CA</t>
  </si>
  <si>
    <t>CIS_ERO</t>
  </si>
  <si>
    <t>Vitaceae</t>
  </si>
  <si>
    <t>Cissus</t>
  </si>
  <si>
    <t>erosa</t>
  </si>
  <si>
    <t xml:space="preserve">Rich.              </t>
  </si>
  <si>
    <t>CIS_VER</t>
  </si>
  <si>
    <t>verticillata</t>
  </si>
  <si>
    <t xml:space="preserve">(L.) Nicolson  &amp;  C.E.  Jarvis       </t>
  </si>
  <si>
    <t>VIT_TIL</t>
  </si>
  <si>
    <t>Vitis</t>
  </si>
  <si>
    <t>tiliifolia</t>
  </si>
  <si>
    <t>Humb. &amp; Bonpl. ex Schult.</t>
  </si>
  <si>
    <t>VOC_FER</t>
  </si>
  <si>
    <t>Vochysiaceae</t>
  </si>
  <si>
    <t>Vochysia</t>
  </si>
  <si>
    <t>ferruginea</t>
  </si>
  <si>
    <t>Wright (.383 from Chave - Central America - refs 116, 168)</t>
  </si>
  <si>
    <t>VOC_GUA</t>
  </si>
  <si>
    <t>guatemalensis</t>
  </si>
  <si>
    <t>Boukili-LS (Wright=8.892)</t>
  </si>
  <si>
    <t>Wright (.333 from WDD database - two Central American samples - 116, 196)</t>
  </si>
  <si>
    <t>HED_COR</t>
  </si>
  <si>
    <t>Zingiberaceae</t>
  </si>
  <si>
    <t>Hedychium</t>
  </si>
  <si>
    <t>coronarium</t>
  </si>
  <si>
    <t xml:space="preserve">J. König             </t>
  </si>
  <si>
    <t>Zingiber 1</t>
  </si>
  <si>
    <t>exotic</t>
  </si>
  <si>
    <t>REN_CER</t>
  </si>
  <si>
    <t>Renealmia</t>
  </si>
  <si>
    <t xml:space="preserve">(Sw. ex  Roem.  &amp;  Schult.)  J.F.  Macbr.   </t>
  </si>
  <si>
    <t>REN_CON</t>
  </si>
  <si>
    <t>Renealmia </t>
  </si>
  <si>
    <t>congesta</t>
  </si>
  <si>
    <t>ZIN_ZER</t>
  </si>
  <si>
    <t>Zingiber</t>
  </si>
  <si>
    <t>zerumbet</t>
  </si>
  <si>
    <t xml:space="preserve">(L.) Roscoe  ex  Sm.         </t>
  </si>
  <si>
    <t>Shampoo ginger</t>
  </si>
  <si>
    <t>Seed ID no</t>
  </si>
  <si>
    <t>The seed ID no from the plant list</t>
  </si>
  <si>
    <t>Understory records</t>
  </si>
  <si>
    <t>The number of times the species was in the shrub or herb database in different years.  It is not a measure of abundance.</t>
  </si>
  <si>
    <t>Dispersal mode</t>
  </si>
  <si>
    <t>Animal or wind-dispersed based on the information in the recruitment database.</t>
  </si>
  <si>
    <t>No recruits in 2013</t>
  </si>
  <si>
    <t>Is the number of woody recruits in 2013 of all sizes</t>
  </si>
  <si>
    <t>No of stems in ref forest</t>
  </si>
  <si>
    <t>Number of stems in ref forest from 2012 sampling</t>
  </si>
  <si>
    <t>Wood density</t>
  </si>
  <si>
    <t>Existing woody density data and the source of it</t>
  </si>
  <si>
    <t>Seed size categories (note added 7/18)</t>
  </si>
  <si>
    <t>1= 0-5 mm</t>
  </si>
  <si>
    <t>2= 5-10mm</t>
  </si>
  <si>
    <t>3= 10-15mm</t>
  </si>
  <si>
    <t>4 &gt;15 mm</t>
  </si>
  <si>
    <t>Dispersal Mode</t>
  </si>
  <si>
    <t>Growth form</t>
  </si>
  <si>
    <t>EXP</t>
  </si>
  <si>
    <t>Explosive</t>
  </si>
  <si>
    <t>Canopy tree</t>
  </si>
  <si>
    <t>EPI</t>
  </si>
  <si>
    <t>Epizoochorous</t>
  </si>
  <si>
    <t>Understory tree</t>
  </si>
  <si>
    <t>GRA</t>
  </si>
  <si>
    <t>Gravity</t>
  </si>
  <si>
    <t>Emergent tree</t>
  </si>
  <si>
    <t>WIN</t>
  </si>
  <si>
    <t>Wind</t>
  </si>
  <si>
    <t>Zoochorous</t>
  </si>
  <si>
    <t>Canopy palm</t>
  </si>
  <si>
    <t>Understory palm</t>
  </si>
  <si>
    <t>Tree fern</t>
  </si>
  <si>
    <t>POUTERIA in Schubert.et.al.2024</t>
  </si>
  <si>
    <t>PRU_BRA; PRUNUS in Schubert.et.al.2024</t>
  </si>
  <si>
    <t>LAU_SP1 in Schubert.et.al.2024</t>
  </si>
  <si>
    <t>LAU_SP3 in Schubert.et.al.2024</t>
  </si>
  <si>
    <t>ING_SP1 in Schubert.et.al.2024</t>
  </si>
  <si>
    <t>HELIOCARPUS in Schubert.et.al.2024</t>
  </si>
  <si>
    <t>CITRUS in Schubert.et.al.2024</t>
  </si>
  <si>
    <t>SEN_HAY</t>
  </si>
  <si>
    <t>CAL_COS</t>
  </si>
  <si>
    <t>Calatola </t>
  </si>
  <si>
    <t>Icacinaceae</t>
  </si>
  <si>
    <t>Azulillo</t>
  </si>
  <si>
    <t>HIRAEA</t>
  </si>
  <si>
    <t>Hiraea</t>
  </si>
  <si>
    <t>LAD_BRE</t>
  </si>
  <si>
    <t>NEP_LAP</t>
  </si>
  <si>
    <t>Nephelium</t>
  </si>
  <si>
    <t> lappaceum </t>
  </si>
  <si>
    <t>Mamón Chino</t>
  </si>
  <si>
    <t>LAU_TRP</t>
  </si>
  <si>
    <t>Debe revisarse esta morfoespecie.</t>
  </si>
  <si>
    <t>dentata</t>
  </si>
  <si>
    <t>van der Werff</t>
  </si>
  <si>
    <t>Encontrado en MM ILA</t>
  </si>
  <si>
    <t>(Ruiz &amp; Pav.) Mez</t>
  </si>
  <si>
    <t>leptobotra </t>
  </si>
  <si>
    <t>OCO_LEP</t>
  </si>
  <si>
    <t>MON_TAC</t>
  </si>
  <si>
    <t>tacanaensis </t>
  </si>
  <si>
    <t>Matuda</t>
  </si>
  <si>
    <t>micranthum</t>
  </si>
  <si>
    <t xml:space="preserve">(L.) Blume        </t>
  </si>
  <si>
    <t>Moquilea</t>
  </si>
  <si>
    <t>Hemsl. </t>
  </si>
  <si>
    <t>MOQ_PLA</t>
  </si>
  <si>
    <t>HEI_POV</t>
  </si>
  <si>
    <t>povedae </t>
  </si>
  <si>
    <t>Q. Jiménez &amp; S. Knapp</t>
  </si>
  <si>
    <t>ING_spB</t>
  </si>
  <si>
    <t>sp.B</t>
  </si>
  <si>
    <t>MIC_DOL</t>
  </si>
  <si>
    <t>HIE_POA</t>
  </si>
  <si>
    <t>(C. DC.) N. Zamora, Hammel &amp; Grayum</t>
  </si>
  <si>
    <t>naranjoana</t>
  </si>
  <si>
    <t>MAN_NAR</t>
  </si>
  <si>
    <t>Guatteria tonduzii Diels, Gua_ton</t>
  </si>
  <si>
    <t>Topobea pittieri Cogn., TOP_PIT</t>
  </si>
  <si>
    <t>sp.b</t>
  </si>
  <si>
    <t>SAR_sp.b</t>
  </si>
  <si>
    <t>Cardiopteridaceae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</si>
</sst>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i/>
      <sz val="11"/>
      <name val="Calibri"/>
      <family val="2"/>
      <charset val="1"/>
    </font>
    <font>
      <i/>
      <sz val="11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i/>
      <sz val="11"/>
      <color rgb="FF222222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0"/>
      <color rgb="FF000000"/>
      <name val="Lucida Grande"/>
      <family val="2"/>
    </font>
    <font>
      <i/>
      <sz val="11"/>
      <name val="Calibri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</borders>
  <cellStyleXfs count="8">
    <xf numFmtId="0" fontId="0" fillId="0" borderId="0"/>
    <xf numFmtId="0" fontId="7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2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left" wrapText="1"/>
    </xf>
    <xf numFmtId="164" fontId="0" fillId="0" borderId="0" xfId="1" applyNumberFormat="1" applyFont="1"/>
    <xf numFmtId="0" fontId="0" fillId="0" borderId="0" xfId="1" applyFont="1"/>
    <xf numFmtId="0" fontId="14" fillId="0" borderId="0" xfId="0" applyFont="1"/>
    <xf numFmtId="0" fontId="16" fillId="0" borderId="0" xfId="0" applyFont="1"/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5" fillId="0" borderId="0" xfId="0" applyFont="1"/>
    <xf numFmtId="0" fontId="0" fillId="0" borderId="1" xfId="0" applyBorder="1"/>
    <xf numFmtId="0" fontId="4" fillId="0" borderId="0" xfId="0" quotePrefix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wrapText="1"/>
    </xf>
    <xf numFmtId="0" fontId="19" fillId="0" borderId="0" xfId="0" applyFont="1" applyAlignment="1">
      <alignment horizontal="left"/>
    </xf>
    <xf numFmtId="0" fontId="0" fillId="0" borderId="2" xfId="0" applyBorder="1"/>
    <xf numFmtId="0" fontId="5" fillId="0" borderId="0" xfId="0" applyFont="1" applyAlignment="1">
      <alignment horizontal="center"/>
    </xf>
    <xf numFmtId="0" fontId="2" fillId="0" borderId="0" xfId="1" applyFont="1"/>
    <xf numFmtId="164" fontId="2" fillId="0" borderId="0" xfId="1" applyNumberFormat="1" applyFont="1"/>
    <xf numFmtId="0" fontId="0" fillId="0" borderId="0" xfId="0" applyAlignment="1">
      <alignment vertical="top"/>
    </xf>
    <xf numFmtId="0" fontId="9" fillId="0" borderId="0" xfId="0" applyFont="1" applyAlignment="1">
      <alignment horizontal="left"/>
    </xf>
    <xf numFmtId="164" fontId="4" fillId="0" borderId="0" xfId="0" applyNumberFormat="1" applyFont="1"/>
    <xf numFmtId="0" fontId="8" fillId="0" borderId="0" xfId="0" applyFont="1"/>
    <xf numFmtId="0" fontId="0" fillId="2" borderId="0" xfId="0" applyFill="1"/>
    <xf numFmtId="0" fontId="15" fillId="0" borderId="0" xfId="0" applyFont="1" applyAlignment="1">
      <alignment wrapText="1"/>
    </xf>
    <xf numFmtId="0" fontId="0" fillId="3" borderId="0" xfId="0" applyFill="1"/>
    <xf numFmtId="0" fontId="16" fillId="3" borderId="0" xfId="0" applyFont="1" applyFill="1"/>
    <xf numFmtId="0" fontId="20" fillId="3" borderId="0" xfId="0" applyFont="1" applyFill="1"/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0" fontId="15" fillId="4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21" fillId="0" borderId="0" xfId="0" applyFont="1" applyAlignment="1">
      <alignment horizontal="left"/>
    </xf>
    <xf numFmtId="0" fontId="16" fillId="2" borderId="0" xfId="0" applyFont="1" applyFill="1"/>
    <xf numFmtId="0" fontId="16" fillId="0" borderId="0" xfId="0" applyFont="1" applyAlignment="1">
      <alignment vertical="top" wrapText="1"/>
    </xf>
    <xf numFmtId="0" fontId="21" fillId="0" borderId="0" xfId="0" applyFont="1"/>
    <xf numFmtId="0" fontId="16" fillId="0" borderId="0" xfId="0" applyFont="1" applyAlignment="1">
      <alignment vertical="center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vertical="center" wrapText="1"/>
    </xf>
    <xf numFmtId="0" fontId="16" fillId="4" borderId="0" xfId="0" applyFont="1" applyFill="1"/>
    <xf numFmtId="0" fontId="16" fillId="0" borderId="0" xfId="0" applyFont="1" applyAlignment="1">
      <alignment horizontal="left"/>
    </xf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22" fillId="2" borderId="0" xfId="0" applyFont="1" applyFill="1" applyAlignment="1" applyProtection="1">
      <alignment horizontal="center" vertical="center" wrapText="1"/>
      <protection locked="0"/>
    </xf>
    <xf numFmtId="164" fontId="22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15" fillId="2" borderId="0" xfId="0" applyFont="1" applyFill="1"/>
    <xf numFmtId="0" fontId="0" fillId="2" borderId="0" xfId="0" quotePrefix="1" applyFill="1" applyAlignment="1">
      <alignment horizontal="left"/>
    </xf>
    <xf numFmtId="0" fontId="24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vertical="top" wrapText="1"/>
    </xf>
  </cellXfs>
  <cellStyles count="8"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  <cellStyle name="TableStyleLight1" xfId="1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77E3D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0</xdr:row>
      <xdr:rowOff>0</xdr:rowOff>
    </xdr:from>
    <xdr:to>
      <xdr:col>22</xdr:col>
      <xdr:colOff>401370</xdr:colOff>
      <xdr:row>0</xdr:row>
      <xdr:rowOff>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11412682" y="0"/>
          <a:ext cx="2773961" cy="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38100</xdr:colOff>
      <xdr:row>54</xdr:row>
      <xdr:rowOff>123825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38100</xdr:colOff>
      <xdr:row>54</xdr:row>
      <xdr:rowOff>123825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derico Oviedo-Brenes" id="{AA0226CF-C541-43FF-AD8E-1629E39EB8AC}" userId="daa5c59060f810f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9" dT="2025-07-19T15:36:21.90" personId="{AA0226CF-C541-43FF-AD8E-1629E39EB8AC}" id="{60DBBFF0-DB32-4D74-B724-08BB4D7E6E19}">
    <text>Es un cambio para registrar la especie correcta, sobre todo del historico.</text>
  </threadedComment>
  <threadedComment ref="H332" dT="2025-07-19T16:10:25.38" personId="{AA0226CF-C541-43FF-AD8E-1629E39EB8AC}" id="{C51C10DD-32F3-4B50-9F87-9C64F30C03BF}">
    <text>Es un cambio taxonómico ya consolidado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pageSetUpPr fitToPage="1"/>
  </sheetPr>
  <dimension ref="A1:AM751"/>
  <sheetViews>
    <sheetView tabSelected="1" zoomScale="110" zoomScaleNormal="110" zoomScalePageLayoutView="110" workbookViewId="0">
      <pane xSplit="5" ySplit="1" topLeftCell="F148" activePane="bottomRight" state="frozen"/>
      <selection pane="topRight" activeCell="AB1" sqref="AB1"/>
      <selection pane="bottomLeft" activeCell="A419" sqref="A419"/>
      <selection pane="bottomRight" activeCell="B158" sqref="B158"/>
    </sheetView>
  </sheetViews>
  <sheetFormatPr baseColWidth="10" defaultColWidth="9.1640625" defaultRowHeight="15" x14ac:dyDescent="0.2"/>
  <cols>
    <col min="1" max="1" width="15.5" customWidth="1"/>
    <col min="2" max="2" width="17" customWidth="1"/>
    <col min="3" max="3" width="17" style="20" customWidth="1"/>
    <col min="4" max="4" width="20.5" style="20" bestFit="1" customWidth="1"/>
    <col min="5" max="5" width="31.1640625" customWidth="1"/>
    <col min="6" max="7" width="7.5" customWidth="1"/>
    <col min="8" max="8" width="12.1640625" customWidth="1"/>
    <col min="9" max="9" width="19.83203125" customWidth="1"/>
    <col min="10" max="10" width="26.5" hidden="1" customWidth="1"/>
    <col min="11" max="11" width="23.1640625" hidden="1" customWidth="1"/>
    <col min="12" max="12" width="9.1640625" style="5"/>
    <col min="14" max="14" width="9.1640625" style="6"/>
    <col min="15" max="15" width="9.5" style="6" customWidth="1"/>
    <col min="16" max="16" width="9.5" style="6" bestFit="1" customWidth="1"/>
    <col min="17" max="17" width="9.1640625" style="6"/>
    <col min="18" max="19" width="9.5" bestFit="1" customWidth="1"/>
    <col min="21" max="24" width="9.5" bestFit="1" customWidth="1"/>
    <col min="26" max="28" width="9.5" bestFit="1" customWidth="1"/>
    <col min="30" max="34" width="9.5" bestFit="1" customWidth="1"/>
    <col min="36" max="37" width="9.5" bestFit="1" customWidth="1"/>
  </cols>
  <sheetData>
    <row r="1" spans="1:39" s="76" customFormat="1" ht="66" customHeight="1" x14ac:dyDescent="0.2">
      <c r="A1" s="75" t="s">
        <v>0</v>
      </c>
      <c r="B1" s="75" t="s">
        <v>1</v>
      </c>
      <c r="C1" s="75" t="s">
        <v>2</v>
      </c>
      <c r="D1" s="76" t="s">
        <v>3</v>
      </c>
      <c r="E1" s="76" t="s">
        <v>4</v>
      </c>
      <c r="F1" s="75" t="s">
        <v>5</v>
      </c>
      <c r="G1" s="75" t="s">
        <v>6</v>
      </c>
      <c r="H1" s="77" t="s">
        <v>7</v>
      </c>
      <c r="I1" s="78" t="s">
        <v>8</v>
      </c>
      <c r="J1" s="77" t="s">
        <v>9</v>
      </c>
      <c r="K1" s="77" t="s">
        <v>10</v>
      </c>
      <c r="L1" s="79" t="s">
        <v>11</v>
      </c>
      <c r="M1" s="75" t="s">
        <v>12</v>
      </c>
      <c r="N1" s="75" t="s">
        <v>13</v>
      </c>
      <c r="O1" s="75" t="s">
        <v>14</v>
      </c>
      <c r="P1" s="75" t="s">
        <v>15</v>
      </c>
      <c r="Q1" s="75" t="s">
        <v>16</v>
      </c>
      <c r="R1" s="77" t="s">
        <v>17</v>
      </c>
      <c r="S1" s="80" t="s">
        <v>18</v>
      </c>
      <c r="T1" s="75" t="s">
        <v>19</v>
      </c>
      <c r="U1" s="75" t="s">
        <v>20</v>
      </c>
      <c r="V1" s="75" t="s">
        <v>21</v>
      </c>
      <c r="W1" s="75" t="s">
        <v>22</v>
      </c>
      <c r="X1" s="80" t="s">
        <v>23</v>
      </c>
      <c r="Y1" s="75" t="s">
        <v>24</v>
      </c>
      <c r="Z1" s="80" t="s">
        <v>25</v>
      </c>
      <c r="AA1" s="75" t="s">
        <v>26</v>
      </c>
      <c r="AB1" s="75" t="s">
        <v>27</v>
      </c>
      <c r="AC1" s="75" t="s">
        <v>28</v>
      </c>
      <c r="AD1" s="80" t="s">
        <v>29</v>
      </c>
      <c r="AE1" s="75" t="s">
        <v>30</v>
      </c>
      <c r="AF1" s="80" t="s">
        <v>31</v>
      </c>
      <c r="AG1" s="80" t="s">
        <v>32</v>
      </c>
      <c r="AH1" s="80" t="s">
        <v>33</v>
      </c>
      <c r="AI1" s="75" t="s">
        <v>34</v>
      </c>
      <c r="AJ1" s="80" t="s">
        <v>35</v>
      </c>
      <c r="AK1" s="76" t="s">
        <v>36</v>
      </c>
    </row>
    <row r="2" spans="1:39" s="11" customFormat="1" x14ac:dyDescent="0.2">
      <c r="A2" t="s">
        <v>37</v>
      </c>
      <c r="B2" t="s">
        <v>38</v>
      </c>
      <c r="C2" s="20" t="s">
        <v>39</v>
      </c>
      <c r="D2" s="20" t="s">
        <v>40</v>
      </c>
      <c r="E2" t="s">
        <v>41</v>
      </c>
      <c r="F2"/>
      <c r="G2"/>
      <c r="H2" s="4"/>
      <c r="I2" s="9" t="s">
        <v>42</v>
      </c>
      <c r="J2" s="9" t="s">
        <v>43</v>
      </c>
      <c r="K2" s="10"/>
      <c r="L2" s="5" t="s">
        <v>44</v>
      </c>
      <c r="M2" t="s">
        <v>45</v>
      </c>
      <c r="N2" s="6" t="s">
        <v>46</v>
      </c>
      <c r="O2" s="6">
        <v>1</v>
      </c>
      <c r="P2"/>
      <c r="Q2" s="6"/>
      <c r="R2" s="7"/>
      <c r="S2"/>
      <c r="T2"/>
      <c r="U2"/>
      <c r="V2"/>
      <c r="W2"/>
      <c r="X2"/>
      <c r="Y2"/>
      <c r="Z2"/>
      <c r="AA2"/>
      <c r="AB2"/>
      <c r="AC2" t="s">
        <v>47</v>
      </c>
      <c r="AD2"/>
      <c r="AE2"/>
      <c r="AF2"/>
      <c r="AG2"/>
      <c r="AH2"/>
      <c r="AI2"/>
      <c r="AJ2"/>
      <c r="AK2"/>
      <c r="AL2"/>
      <c r="AM2"/>
    </row>
    <row r="3" spans="1:39" x14ac:dyDescent="0.2">
      <c r="A3" t="s">
        <v>48</v>
      </c>
      <c r="B3" t="s">
        <v>38</v>
      </c>
      <c r="C3" s="20" t="s">
        <v>49</v>
      </c>
      <c r="D3" s="20" t="s">
        <v>50</v>
      </c>
      <c r="E3" t="s">
        <v>51</v>
      </c>
      <c r="H3" s="9" t="s">
        <v>52</v>
      </c>
      <c r="I3" s="9" t="s">
        <v>53</v>
      </c>
      <c r="J3" s="12"/>
      <c r="K3" s="10"/>
      <c r="L3" s="5" t="s">
        <v>44</v>
      </c>
      <c r="M3" t="s">
        <v>54</v>
      </c>
      <c r="N3" s="6" t="s">
        <v>55</v>
      </c>
      <c r="O3" s="6">
        <v>1</v>
      </c>
      <c r="P3"/>
      <c r="R3" s="7">
        <v>451</v>
      </c>
      <c r="AC3" t="s">
        <v>47</v>
      </c>
    </row>
    <row r="4" spans="1:39" s="3" customFormat="1" x14ac:dyDescent="0.2">
      <c r="A4" t="s">
        <v>56</v>
      </c>
      <c r="B4" s="9" t="s">
        <v>38</v>
      </c>
      <c r="C4" s="66" t="s">
        <v>57</v>
      </c>
      <c r="D4" s="20" t="s">
        <v>58</v>
      </c>
      <c r="E4" t="s">
        <v>59</v>
      </c>
      <c r="F4"/>
      <c r="G4"/>
      <c r="H4" s="4" t="s">
        <v>60</v>
      </c>
      <c r="I4" s="4" t="s">
        <v>61</v>
      </c>
      <c r="J4" s="4"/>
      <c r="K4" s="4" t="s">
        <v>62</v>
      </c>
      <c r="L4" s="5" t="s">
        <v>63</v>
      </c>
      <c r="M4" t="s">
        <v>64</v>
      </c>
      <c r="N4" s="6" t="s">
        <v>65</v>
      </c>
      <c r="O4" s="6">
        <v>3</v>
      </c>
      <c r="P4" s="7">
        <v>183</v>
      </c>
      <c r="Q4" s="7"/>
      <c r="R4" s="7"/>
      <c r="S4" s="8"/>
      <c r="X4" s="8">
        <v>69.52</v>
      </c>
      <c r="Y4" s="3" t="s">
        <v>66</v>
      </c>
      <c r="Z4" s="14"/>
      <c r="AD4" s="14"/>
      <c r="AF4" s="14"/>
      <c r="AG4" s="14"/>
      <c r="AH4" s="8">
        <v>0.23222814899999999</v>
      </c>
      <c r="AI4" t="s">
        <v>66</v>
      </c>
      <c r="AJ4"/>
      <c r="AK4"/>
      <c r="AL4"/>
    </row>
    <row r="5" spans="1:39" x14ac:dyDescent="0.2">
      <c r="A5" t="s">
        <v>67</v>
      </c>
      <c r="B5" t="s">
        <v>38</v>
      </c>
      <c r="C5" s="20" t="s">
        <v>57</v>
      </c>
      <c r="D5" s="20" t="s">
        <v>68</v>
      </c>
      <c r="E5" t="s">
        <v>69</v>
      </c>
      <c r="L5" s="5" t="s">
        <v>63</v>
      </c>
      <c r="M5" t="s">
        <v>64</v>
      </c>
      <c r="N5" s="6" t="s">
        <v>55</v>
      </c>
      <c r="O5" s="6">
        <v>3</v>
      </c>
      <c r="P5"/>
      <c r="AJ5" s="14"/>
      <c r="AK5" s="3"/>
    </row>
    <row r="6" spans="1:39" x14ac:dyDescent="0.2">
      <c r="A6" t="s">
        <v>70</v>
      </c>
      <c r="B6" s="9" t="s">
        <v>38</v>
      </c>
      <c r="C6" s="20" t="s">
        <v>57</v>
      </c>
      <c r="D6" s="20" t="s">
        <v>71</v>
      </c>
      <c r="E6" t="s">
        <v>72</v>
      </c>
      <c r="H6" s="4"/>
      <c r="I6" s="4"/>
      <c r="J6" s="4"/>
      <c r="K6" s="10" t="s">
        <v>73</v>
      </c>
      <c r="L6" s="5" t="s">
        <v>63</v>
      </c>
      <c r="M6" t="s">
        <v>64</v>
      </c>
      <c r="N6" s="6" t="s">
        <v>55</v>
      </c>
      <c r="O6" s="6">
        <v>3</v>
      </c>
      <c r="P6" s="7"/>
      <c r="Q6" s="7" t="s">
        <v>74</v>
      </c>
      <c r="R6" s="7"/>
      <c r="S6" s="8"/>
      <c r="T6" s="3"/>
      <c r="U6" s="3"/>
      <c r="V6" s="3"/>
      <c r="W6" s="3"/>
      <c r="X6" s="8"/>
      <c r="Y6" s="3"/>
      <c r="Z6" s="14"/>
      <c r="AA6" s="3"/>
      <c r="AB6" s="3"/>
      <c r="AC6" s="3"/>
      <c r="AD6" s="14"/>
      <c r="AE6" s="3"/>
      <c r="AF6" s="14"/>
      <c r="AG6" s="14"/>
      <c r="AH6" s="8"/>
    </row>
    <row r="7" spans="1:39" x14ac:dyDescent="0.2">
      <c r="A7" t="s">
        <v>75</v>
      </c>
      <c r="B7" t="s">
        <v>38</v>
      </c>
      <c r="C7" s="20" t="s">
        <v>76</v>
      </c>
      <c r="D7" s="20" t="s">
        <v>77</v>
      </c>
      <c r="E7" t="s">
        <v>78</v>
      </c>
      <c r="H7" s="4"/>
      <c r="I7" s="9" t="s">
        <v>79</v>
      </c>
      <c r="J7" s="4"/>
      <c r="K7" s="9" t="s">
        <v>80</v>
      </c>
      <c r="L7" s="5" t="s">
        <v>81</v>
      </c>
      <c r="M7" t="s">
        <v>45</v>
      </c>
      <c r="N7" s="6" t="s">
        <v>65</v>
      </c>
      <c r="O7" s="6">
        <v>1</v>
      </c>
      <c r="R7" s="7">
        <v>510</v>
      </c>
      <c r="S7" s="8"/>
      <c r="T7" s="3"/>
      <c r="U7" s="3"/>
      <c r="V7" s="3"/>
      <c r="W7" s="3"/>
      <c r="X7" s="8"/>
      <c r="Y7" s="3"/>
      <c r="Z7" s="8"/>
      <c r="AA7" s="3"/>
      <c r="AB7" s="3"/>
      <c r="AC7" s="3" t="s">
        <v>47</v>
      </c>
      <c r="AD7" s="8"/>
      <c r="AE7" s="3"/>
      <c r="AF7" s="8"/>
      <c r="AG7" s="8"/>
      <c r="AH7" s="8"/>
      <c r="AI7" s="3"/>
      <c r="AJ7" s="8"/>
      <c r="AK7" s="3"/>
    </row>
    <row r="8" spans="1:39" x14ac:dyDescent="0.2">
      <c r="A8" t="s">
        <v>82</v>
      </c>
      <c r="B8" t="s">
        <v>38</v>
      </c>
      <c r="C8" s="20" t="s">
        <v>83</v>
      </c>
      <c r="D8" s="20" t="s">
        <v>84</v>
      </c>
      <c r="E8" t="s">
        <v>85</v>
      </c>
      <c r="H8" s="9" t="s">
        <v>86</v>
      </c>
      <c r="I8" s="13" t="s">
        <v>87</v>
      </c>
      <c r="J8" s="15"/>
      <c r="K8" s="10"/>
      <c r="L8" s="6" t="s">
        <v>44</v>
      </c>
      <c r="M8" t="s">
        <v>45</v>
      </c>
      <c r="N8" s="6" t="s">
        <v>46</v>
      </c>
      <c r="O8" s="6">
        <v>1</v>
      </c>
      <c r="P8"/>
      <c r="R8" s="7"/>
      <c r="S8" s="8">
        <v>24.7373338492241</v>
      </c>
      <c r="T8" t="s">
        <v>88</v>
      </c>
      <c r="X8" s="8">
        <v>1.10160315066829</v>
      </c>
      <c r="Y8" t="s">
        <v>88</v>
      </c>
    </row>
    <row r="9" spans="1:39" x14ac:dyDescent="0.2">
      <c r="A9" t="s">
        <v>89</v>
      </c>
      <c r="B9" t="s">
        <v>90</v>
      </c>
      <c r="C9" s="20" t="s">
        <v>91</v>
      </c>
      <c r="D9" s="20" t="s">
        <v>92</v>
      </c>
      <c r="E9" t="s">
        <v>93</v>
      </c>
      <c r="I9" s="3"/>
      <c r="J9" s="3"/>
      <c r="L9" s="6" t="s">
        <v>94</v>
      </c>
      <c r="M9" t="s">
        <v>64</v>
      </c>
      <c r="N9" s="6" t="s">
        <v>55</v>
      </c>
      <c r="O9" s="6">
        <v>1</v>
      </c>
      <c r="P9"/>
      <c r="R9" s="3"/>
      <c r="S9" s="8">
        <v>11.682352</v>
      </c>
      <c r="T9" t="s">
        <v>95</v>
      </c>
      <c r="AC9" t="s">
        <v>47</v>
      </c>
    </row>
    <row r="10" spans="1:39" x14ac:dyDescent="0.2">
      <c r="A10" t="s">
        <v>96</v>
      </c>
      <c r="B10" t="s">
        <v>90</v>
      </c>
      <c r="C10" s="20" t="s">
        <v>91</v>
      </c>
      <c r="D10" s="20" t="s">
        <v>97</v>
      </c>
      <c r="E10" t="s">
        <v>98</v>
      </c>
      <c r="H10" s="4"/>
      <c r="I10" s="3"/>
      <c r="J10" s="3"/>
      <c r="K10" s="16"/>
      <c r="L10" s="6" t="s">
        <v>99</v>
      </c>
      <c r="M10" t="s">
        <v>64</v>
      </c>
      <c r="N10" s="6" t="s">
        <v>55</v>
      </c>
      <c r="O10" s="6">
        <v>1</v>
      </c>
      <c r="P10"/>
      <c r="R10" s="3"/>
      <c r="S10" s="8">
        <v>12.698361999999999</v>
      </c>
      <c r="T10" t="s">
        <v>95</v>
      </c>
      <c r="AB10">
        <v>0.5</v>
      </c>
      <c r="AC10" t="s">
        <v>100</v>
      </c>
      <c r="AH10" s="8">
        <v>0.44</v>
      </c>
      <c r="AI10" t="s">
        <v>66</v>
      </c>
      <c r="AL10" s="3"/>
    </row>
    <row r="11" spans="1:39" x14ac:dyDescent="0.2">
      <c r="A11" t="s">
        <v>101</v>
      </c>
      <c r="B11" t="s">
        <v>102</v>
      </c>
      <c r="C11" s="20" t="s">
        <v>103</v>
      </c>
      <c r="D11" s="20" t="s">
        <v>104</v>
      </c>
      <c r="E11" t="s">
        <v>105</v>
      </c>
      <c r="H11" s="4"/>
      <c r="I11" s="13" t="s">
        <v>106</v>
      </c>
      <c r="L11" s="6" t="s">
        <v>94</v>
      </c>
      <c r="M11" t="s">
        <v>64</v>
      </c>
      <c r="N11" s="6" t="s">
        <v>55</v>
      </c>
      <c r="O11" s="6">
        <v>1</v>
      </c>
      <c r="P11" s="6">
        <v>4</v>
      </c>
      <c r="Q11" s="6" t="s">
        <v>74</v>
      </c>
      <c r="R11" s="7"/>
      <c r="S11" s="8">
        <v>16.393321</v>
      </c>
      <c r="T11" t="s">
        <v>95</v>
      </c>
      <c r="U11" s="18">
        <v>16.985477813528099</v>
      </c>
      <c r="V11" s="18">
        <v>59.229480566717299</v>
      </c>
      <c r="W11" s="18">
        <v>9</v>
      </c>
      <c r="AC11" t="s">
        <v>47</v>
      </c>
      <c r="AD11" s="17">
        <v>35.799999999999997</v>
      </c>
      <c r="AE11" s="18">
        <v>10</v>
      </c>
      <c r="AF11" s="17">
        <v>4.78</v>
      </c>
      <c r="AG11" s="17">
        <v>4.08</v>
      </c>
      <c r="AH11" s="8">
        <v>0.53900000000000003</v>
      </c>
      <c r="AI11" t="s">
        <v>107</v>
      </c>
      <c r="AJ11" s="17">
        <v>0.54157446281951904</v>
      </c>
      <c r="AK11">
        <v>5</v>
      </c>
    </row>
    <row r="12" spans="1:39" x14ac:dyDescent="0.2">
      <c r="A12" t="s">
        <v>108</v>
      </c>
      <c r="B12" t="s">
        <v>109</v>
      </c>
      <c r="C12" s="20" t="s">
        <v>110</v>
      </c>
      <c r="D12" s="20" t="s">
        <v>111</v>
      </c>
      <c r="E12" t="s">
        <v>85</v>
      </c>
      <c r="H12" s="4"/>
      <c r="I12" s="3"/>
      <c r="J12" s="3"/>
      <c r="L12" s="5" t="s">
        <v>44</v>
      </c>
      <c r="M12" t="s">
        <v>112</v>
      </c>
      <c r="N12" s="6" t="s">
        <v>46</v>
      </c>
      <c r="O12" s="6">
        <v>1</v>
      </c>
      <c r="P12"/>
      <c r="R12" s="3"/>
    </row>
    <row r="13" spans="1:39" x14ac:dyDescent="0.2">
      <c r="A13" t="s">
        <v>113</v>
      </c>
      <c r="B13" t="s">
        <v>109</v>
      </c>
      <c r="C13" s="20" t="s">
        <v>114</v>
      </c>
      <c r="D13" s="20" t="s">
        <v>115</v>
      </c>
      <c r="E13" t="s">
        <v>116</v>
      </c>
      <c r="L13" s="5" t="s">
        <v>117</v>
      </c>
      <c r="M13" t="s">
        <v>64</v>
      </c>
      <c r="N13" s="6" t="s">
        <v>65</v>
      </c>
      <c r="O13" s="6">
        <v>1</v>
      </c>
      <c r="P13"/>
    </row>
    <row r="14" spans="1:39" s="3" customFormat="1" x14ac:dyDescent="0.2">
      <c r="A14" t="s">
        <v>118</v>
      </c>
      <c r="B14" t="s">
        <v>109</v>
      </c>
      <c r="C14" s="20" t="s">
        <v>119</v>
      </c>
      <c r="D14" s="20" t="s">
        <v>120</v>
      </c>
      <c r="E14" t="s">
        <v>121</v>
      </c>
      <c r="F14"/>
      <c r="G14"/>
      <c r="H14" s="4"/>
      <c r="I14" s="9" t="s">
        <v>122</v>
      </c>
      <c r="J14" s="4"/>
      <c r="K14" s="4"/>
      <c r="L14" s="6" t="s">
        <v>44</v>
      </c>
      <c r="M14" t="s">
        <v>54</v>
      </c>
      <c r="N14" s="6" t="s">
        <v>46</v>
      </c>
      <c r="O14" s="6">
        <v>1</v>
      </c>
      <c r="P14"/>
      <c r="Q14" s="6"/>
      <c r="R14" s="7">
        <v>459</v>
      </c>
      <c r="S14" s="8">
        <v>28.559933180000002</v>
      </c>
      <c r="T14" t="s">
        <v>88</v>
      </c>
      <c r="U14"/>
      <c r="V14"/>
      <c r="W14"/>
      <c r="X14" s="8">
        <v>0.73727708000000003</v>
      </c>
      <c r="Y14" t="s">
        <v>88</v>
      </c>
      <c r="Z14"/>
      <c r="AA14"/>
      <c r="AB14"/>
      <c r="AC14"/>
      <c r="AD14"/>
      <c r="AE14"/>
      <c r="AF14"/>
      <c r="AG14"/>
      <c r="AH14"/>
      <c r="AI14"/>
      <c r="AJ14" s="14"/>
      <c r="AL14"/>
    </row>
    <row r="15" spans="1:39" x14ac:dyDescent="0.2">
      <c r="A15" t="s">
        <v>123</v>
      </c>
      <c r="B15" t="s">
        <v>109</v>
      </c>
      <c r="C15" s="20" t="s">
        <v>124</v>
      </c>
      <c r="D15" s="20" t="s">
        <v>125</v>
      </c>
      <c r="E15" t="s">
        <v>126</v>
      </c>
      <c r="H15" s="4"/>
      <c r="I15" s="9" t="s">
        <v>127</v>
      </c>
      <c r="J15" s="9" t="s">
        <v>128</v>
      </c>
      <c r="K15" s="9" t="s">
        <v>129</v>
      </c>
      <c r="L15" s="5" t="s">
        <v>44</v>
      </c>
      <c r="M15" t="s">
        <v>64</v>
      </c>
      <c r="N15" s="6" t="s">
        <v>46</v>
      </c>
      <c r="O15" s="6">
        <v>1</v>
      </c>
      <c r="P15"/>
      <c r="R15" s="7"/>
      <c r="S15" s="8">
        <v>25.91004247</v>
      </c>
      <c r="T15" t="s">
        <v>88</v>
      </c>
      <c r="X15" s="8">
        <v>0.71242059000000002</v>
      </c>
      <c r="Y15" t="s">
        <v>88</v>
      </c>
    </row>
    <row r="16" spans="1:39" x14ac:dyDescent="0.2">
      <c r="A16" t="s">
        <v>130</v>
      </c>
      <c r="B16" s="9" t="s">
        <v>131</v>
      </c>
      <c r="C16" s="66" t="s">
        <v>132</v>
      </c>
      <c r="D16" s="20" t="s">
        <v>133</v>
      </c>
      <c r="E16" t="s">
        <v>134</v>
      </c>
      <c r="H16" s="4"/>
      <c r="I16" s="4"/>
      <c r="J16" s="4"/>
      <c r="K16" s="4"/>
      <c r="L16" s="6" t="s">
        <v>99</v>
      </c>
      <c r="M16" t="s">
        <v>64</v>
      </c>
      <c r="N16" s="6" t="s">
        <v>65</v>
      </c>
      <c r="O16" s="6">
        <v>2</v>
      </c>
      <c r="R16" s="7"/>
      <c r="S16" s="8"/>
      <c r="T16" s="3"/>
      <c r="U16" s="3"/>
      <c r="V16" s="3"/>
      <c r="W16" s="3"/>
      <c r="X16" s="8"/>
      <c r="Y16" s="3"/>
      <c r="Z16" s="14"/>
      <c r="AA16" s="3"/>
      <c r="AB16" s="3"/>
      <c r="AC16" s="3"/>
      <c r="AD16" s="14"/>
      <c r="AE16" s="3"/>
      <c r="AF16" s="14"/>
      <c r="AG16" s="14"/>
      <c r="AH16" s="8"/>
      <c r="AI16" s="3"/>
    </row>
    <row r="17" spans="1:38" x14ac:dyDescent="0.2">
      <c r="A17" t="s">
        <v>135</v>
      </c>
      <c r="B17" s="9" t="s">
        <v>131</v>
      </c>
      <c r="C17" s="66" t="s">
        <v>136</v>
      </c>
      <c r="D17" s="20" t="s">
        <v>137</v>
      </c>
      <c r="E17" t="s">
        <v>138</v>
      </c>
      <c r="F17">
        <v>1</v>
      </c>
      <c r="H17" s="4"/>
      <c r="I17" s="4"/>
      <c r="J17" s="4"/>
      <c r="K17" s="4"/>
      <c r="L17" s="6" t="s">
        <v>94</v>
      </c>
      <c r="M17" t="s">
        <v>64</v>
      </c>
      <c r="N17" s="6" t="s">
        <v>55</v>
      </c>
      <c r="O17" s="6">
        <v>4</v>
      </c>
      <c r="R17" s="7"/>
      <c r="S17" s="8"/>
      <c r="T17" s="3"/>
      <c r="U17" s="3"/>
      <c r="V17" s="3"/>
      <c r="W17" s="3"/>
      <c r="X17" s="8"/>
      <c r="Y17" s="3"/>
      <c r="Z17" s="14"/>
      <c r="AA17" s="3"/>
      <c r="AB17" s="3"/>
      <c r="AC17" s="3"/>
      <c r="AD17" s="14"/>
      <c r="AE17" s="3"/>
      <c r="AF17" s="14"/>
      <c r="AG17" s="14"/>
      <c r="AH17" s="8"/>
      <c r="AI17" s="3"/>
    </row>
    <row r="18" spans="1:38" x14ac:dyDescent="0.2">
      <c r="A18" t="s">
        <v>139</v>
      </c>
      <c r="B18" s="9" t="s">
        <v>131</v>
      </c>
      <c r="C18" s="66" t="s">
        <v>140</v>
      </c>
      <c r="D18" s="20" t="s">
        <v>141</v>
      </c>
      <c r="E18" t="s">
        <v>142</v>
      </c>
      <c r="H18" s="4"/>
      <c r="I18" s="4"/>
      <c r="J18" s="4"/>
      <c r="K18" s="4"/>
      <c r="L18" s="6" t="s">
        <v>99</v>
      </c>
      <c r="M18" t="s">
        <v>64</v>
      </c>
      <c r="N18" s="6" t="s">
        <v>65</v>
      </c>
      <c r="O18" s="6">
        <v>2</v>
      </c>
      <c r="R18" s="7"/>
      <c r="S18" s="8"/>
      <c r="T18" s="3"/>
      <c r="U18" s="3"/>
      <c r="V18" s="3"/>
      <c r="W18" s="3"/>
      <c r="X18" s="8"/>
      <c r="Y18" s="3"/>
      <c r="Z18" s="14"/>
      <c r="AA18" s="3"/>
      <c r="AB18" s="3"/>
      <c r="AC18" s="3"/>
      <c r="AD18" s="14"/>
      <c r="AE18" s="3"/>
      <c r="AF18" s="14"/>
      <c r="AG18" s="14"/>
      <c r="AH18" s="8"/>
      <c r="AI18" s="3"/>
    </row>
    <row r="19" spans="1:38" x14ac:dyDescent="0.2">
      <c r="A19" t="s">
        <v>143</v>
      </c>
      <c r="B19" t="s">
        <v>131</v>
      </c>
      <c r="C19" s="20" t="s">
        <v>144</v>
      </c>
      <c r="D19" s="20" t="s">
        <v>145</v>
      </c>
      <c r="E19" t="s">
        <v>146</v>
      </c>
      <c r="I19" s="3"/>
      <c r="J19" s="3"/>
      <c r="L19" s="6" t="s">
        <v>99</v>
      </c>
      <c r="M19" t="s">
        <v>64</v>
      </c>
      <c r="N19" s="6" t="s">
        <v>65</v>
      </c>
      <c r="O19" s="6">
        <v>1</v>
      </c>
      <c r="P19"/>
      <c r="R19" s="3"/>
      <c r="S19" s="8">
        <v>13.9124979793257</v>
      </c>
      <c r="T19" t="s">
        <v>147</v>
      </c>
      <c r="X19">
        <v>327.64999999999998</v>
      </c>
      <c r="Y19" t="s">
        <v>66</v>
      </c>
      <c r="AH19" s="8">
        <v>0.42166984099999999</v>
      </c>
      <c r="AI19" t="s">
        <v>148</v>
      </c>
    </row>
    <row r="20" spans="1:38" x14ac:dyDescent="0.2">
      <c r="A20" t="s">
        <v>149</v>
      </c>
      <c r="B20" t="s">
        <v>131</v>
      </c>
      <c r="C20" s="20" t="s">
        <v>144</v>
      </c>
      <c r="D20" s="20" t="s">
        <v>150</v>
      </c>
      <c r="E20" t="s">
        <v>151</v>
      </c>
      <c r="I20" s="3"/>
      <c r="J20" s="3"/>
      <c r="L20" s="6" t="s">
        <v>99</v>
      </c>
      <c r="M20" t="s">
        <v>64</v>
      </c>
      <c r="N20" s="6" t="s">
        <v>65</v>
      </c>
      <c r="O20" s="6">
        <v>1</v>
      </c>
      <c r="P20"/>
      <c r="R20" s="3"/>
      <c r="AH20" s="8">
        <v>0.78</v>
      </c>
      <c r="AI20" t="s">
        <v>66</v>
      </c>
    </row>
    <row r="21" spans="1:38" x14ac:dyDescent="0.2">
      <c r="A21" t="s">
        <v>152</v>
      </c>
      <c r="B21" t="s">
        <v>131</v>
      </c>
      <c r="C21" s="20" t="s">
        <v>153</v>
      </c>
      <c r="D21" s="20" t="s">
        <v>154</v>
      </c>
      <c r="E21" t="s">
        <v>155</v>
      </c>
      <c r="H21" s="4"/>
      <c r="I21" s="9" t="s">
        <v>156</v>
      </c>
      <c r="J21" s="4"/>
      <c r="K21" s="9"/>
      <c r="L21" s="6" t="s">
        <v>94</v>
      </c>
      <c r="M21" t="s">
        <v>64</v>
      </c>
      <c r="N21" s="6" t="s">
        <v>55</v>
      </c>
      <c r="O21" s="6">
        <v>3</v>
      </c>
      <c r="Q21" s="6" t="s">
        <v>74</v>
      </c>
      <c r="R21" s="7"/>
      <c r="S21" s="8"/>
      <c r="T21" s="3"/>
      <c r="U21" s="3"/>
      <c r="V21" s="3"/>
      <c r="W21" s="3"/>
      <c r="X21" s="8"/>
      <c r="Y21" s="3"/>
      <c r="Z21" s="17"/>
      <c r="AA21" s="18"/>
      <c r="AB21" s="18"/>
      <c r="AC21" s="18"/>
      <c r="AD21" s="17"/>
      <c r="AE21" s="18"/>
      <c r="AF21" s="17"/>
      <c r="AG21" s="17"/>
      <c r="AH21" s="8"/>
      <c r="AI21" s="3"/>
    </row>
    <row r="22" spans="1:38" x14ac:dyDescent="0.2">
      <c r="A22" t="s">
        <v>157</v>
      </c>
      <c r="B22" t="s">
        <v>158</v>
      </c>
      <c r="C22" s="20" t="s">
        <v>159</v>
      </c>
      <c r="D22" s="20" t="s">
        <v>160</v>
      </c>
      <c r="E22" t="s">
        <v>161</v>
      </c>
      <c r="I22" s="3"/>
      <c r="J22" s="3"/>
      <c r="L22" s="6" t="s">
        <v>99</v>
      </c>
      <c r="M22" t="s">
        <v>64</v>
      </c>
      <c r="N22" s="6" t="s">
        <v>65</v>
      </c>
      <c r="O22" s="6">
        <v>3</v>
      </c>
      <c r="P22"/>
      <c r="R22" s="3"/>
    </row>
    <row r="23" spans="1:38" x14ac:dyDescent="0.2">
      <c r="A23" t="s">
        <v>162</v>
      </c>
      <c r="B23" t="s">
        <v>158</v>
      </c>
      <c r="C23" s="20" t="s">
        <v>163</v>
      </c>
      <c r="D23" s="20" t="s">
        <v>164</v>
      </c>
      <c r="E23" t="s">
        <v>165</v>
      </c>
      <c r="H23" s="4"/>
      <c r="I23" s="4"/>
      <c r="J23" s="4"/>
      <c r="L23" s="6" t="s">
        <v>94</v>
      </c>
      <c r="M23" t="s">
        <v>64</v>
      </c>
      <c r="N23" s="6" t="s">
        <v>65</v>
      </c>
      <c r="O23" s="6">
        <v>2</v>
      </c>
      <c r="P23" s="6">
        <v>150</v>
      </c>
      <c r="R23" s="7"/>
    </row>
    <row r="24" spans="1:38" x14ac:dyDescent="0.2">
      <c r="A24" t="s">
        <v>166</v>
      </c>
      <c r="B24" t="s">
        <v>158</v>
      </c>
      <c r="C24" s="20" t="s">
        <v>167</v>
      </c>
      <c r="D24" s="20" t="s">
        <v>168</v>
      </c>
      <c r="E24" t="s">
        <v>169</v>
      </c>
      <c r="H24" t="s">
        <v>170</v>
      </c>
      <c r="I24" s="3"/>
      <c r="J24" s="3"/>
      <c r="L24" s="6" t="s">
        <v>99</v>
      </c>
      <c r="M24" t="s">
        <v>64</v>
      </c>
      <c r="N24" s="6" t="s">
        <v>65</v>
      </c>
      <c r="O24" s="6">
        <v>1</v>
      </c>
      <c r="P24"/>
      <c r="R24" s="3"/>
      <c r="X24">
        <v>103.955</v>
      </c>
      <c r="Y24" t="s">
        <v>66</v>
      </c>
      <c r="AH24" s="8">
        <v>0.521294798</v>
      </c>
      <c r="AI24" t="s">
        <v>171</v>
      </c>
    </row>
    <row r="25" spans="1:38" x14ac:dyDescent="0.2">
      <c r="A25" t="s">
        <v>172</v>
      </c>
      <c r="B25" t="s">
        <v>158</v>
      </c>
      <c r="C25" s="19" t="s">
        <v>173</v>
      </c>
      <c r="D25" s="20" t="s">
        <v>174</v>
      </c>
      <c r="E25" t="s">
        <v>161</v>
      </c>
      <c r="H25" s="86" t="s">
        <v>2795</v>
      </c>
      <c r="I25" s="4"/>
      <c r="J25" s="4"/>
      <c r="K25" s="9" t="s">
        <v>175</v>
      </c>
      <c r="L25" s="6" t="s">
        <v>99</v>
      </c>
      <c r="M25" t="s">
        <v>64</v>
      </c>
      <c r="N25" s="6" t="s">
        <v>65</v>
      </c>
      <c r="O25" s="6">
        <v>1</v>
      </c>
      <c r="P25"/>
      <c r="Q25" s="6" t="s">
        <v>74</v>
      </c>
      <c r="R25" s="7"/>
      <c r="AD25" s="17">
        <v>44.3</v>
      </c>
      <c r="AE25">
        <v>2</v>
      </c>
      <c r="AF25" s="8">
        <v>8.3000000000000007</v>
      </c>
      <c r="AG25" s="8">
        <v>4.45</v>
      </c>
    </row>
    <row r="26" spans="1:38" x14ac:dyDescent="0.2">
      <c r="A26" t="s">
        <v>176</v>
      </c>
      <c r="B26" t="s">
        <v>158</v>
      </c>
      <c r="C26" s="19" t="s">
        <v>173</v>
      </c>
      <c r="D26" s="20" t="s">
        <v>177</v>
      </c>
      <c r="E26" t="s">
        <v>178</v>
      </c>
      <c r="F26">
        <v>1</v>
      </c>
      <c r="H26" s="86"/>
      <c r="I26" s="4"/>
      <c r="J26" s="4"/>
      <c r="K26" s="9"/>
      <c r="L26" s="6" t="s">
        <v>99</v>
      </c>
      <c r="M26" t="s">
        <v>64</v>
      </c>
      <c r="N26" s="6" t="s">
        <v>65</v>
      </c>
      <c r="O26" s="6">
        <v>1</v>
      </c>
      <c r="P26"/>
      <c r="R26" s="7"/>
      <c r="AD26" s="17"/>
      <c r="AF26" s="8"/>
      <c r="AG26" s="8"/>
    </row>
    <row r="27" spans="1:38" x14ac:dyDescent="0.2">
      <c r="A27" s="9" t="s">
        <v>179</v>
      </c>
      <c r="B27" s="9" t="s">
        <v>180</v>
      </c>
      <c r="C27" s="66" t="s">
        <v>181</v>
      </c>
      <c r="D27" s="20" t="s">
        <v>182</v>
      </c>
      <c r="E27" t="s">
        <v>183</v>
      </c>
      <c r="H27" s="4"/>
      <c r="I27" s="4"/>
      <c r="J27" s="9" t="s">
        <v>184</v>
      </c>
      <c r="K27" s="9" t="s">
        <v>185</v>
      </c>
      <c r="L27" s="5" t="s">
        <v>44</v>
      </c>
      <c r="M27" t="s">
        <v>54</v>
      </c>
      <c r="N27" s="6" t="s">
        <v>46</v>
      </c>
      <c r="O27" s="6">
        <v>1</v>
      </c>
      <c r="P27"/>
      <c r="R27" s="7"/>
    </row>
    <row r="28" spans="1:38" x14ac:dyDescent="0.2">
      <c r="A28" t="s">
        <v>186</v>
      </c>
      <c r="B28" t="s">
        <v>180</v>
      </c>
      <c r="C28" s="20" t="s">
        <v>181</v>
      </c>
      <c r="D28" s="20" t="s">
        <v>187</v>
      </c>
      <c r="E28" t="s">
        <v>188</v>
      </c>
      <c r="H28" s="9" t="s">
        <v>189</v>
      </c>
      <c r="I28" s="4"/>
      <c r="J28" s="4"/>
      <c r="K28" s="9" t="s">
        <v>190</v>
      </c>
      <c r="L28" s="5" t="s">
        <v>44</v>
      </c>
      <c r="M28" t="s">
        <v>54</v>
      </c>
      <c r="N28" s="6" t="s">
        <v>46</v>
      </c>
      <c r="O28" s="6">
        <v>1</v>
      </c>
      <c r="P28"/>
      <c r="R28" s="7"/>
    </row>
    <row r="29" spans="1:38" x14ac:dyDescent="0.2">
      <c r="A29" s="9" t="s">
        <v>191</v>
      </c>
      <c r="B29" s="9" t="s">
        <v>180</v>
      </c>
      <c r="C29" s="66" t="s">
        <v>181</v>
      </c>
      <c r="D29" s="20" t="s">
        <v>192</v>
      </c>
      <c r="E29" t="s">
        <v>85</v>
      </c>
      <c r="H29" s="4"/>
      <c r="I29" s="4"/>
      <c r="J29" s="4"/>
      <c r="K29" s="9" t="s">
        <v>193</v>
      </c>
      <c r="L29" s="5" t="s">
        <v>44</v>
      </c>
      <c r="M29" t="s">
        <v>54</v>
      </c>
      <c r="N29" s="6" t="s">
        <v>46</v>
      </c>
      <c r="O29" s="6">
        <v>1</v>
      </c>
      <c r="P29"/>
      <c r="R29" s="7"/>
      <c r="AC29" t="s">
        <v>47</v>
      </c>
    </row>
    <row r="30" spans="1:38" x14ac:dyDescent="0.2">
      <c r="A30" t="s">
        <v>194</v>
      </c>
      <c r="B30" t="s">
        <v>180</v>
      </c>
      <c r="C30" s="20" t="s">
        <v>195</v>
      </c>
      <c r="D30" s="20" t="s">
        <v>196</v>
      </c>
      <c r="E30" t="s">
        <v>197</v>
      </c>
      <c r="L30" s="5" t="s">
        <v>44</v>
      </c>
      <c r="M30" t="s">
        <v>112</v>
      </c>
      <c r="N30" s="6" t="s">
        <v>55</v>
      </c>
      <c r="O30" s="6">
        <v>1</v>
      </c>
      <c r="P30"/>
    </row>
    <row r="31" spans="1:38" x14ac:dyDescent="0.2">
      <c r="A31" t="s">
        <v>198</v>
      </c>
      <c r="B31" t="s">
        <v>180</v>
      </c>
      <c r="C31" s="20" t="s">
        <v>199</v>
      </c>
      <c r="D31" s="20" t="s">
        <v>200</v>
      </c>
      <c r="E31" t="s">
        <v>201</v>
      </c>
      <c r="H31" s="9" t="s">
        <v>202</v>
      </c>
      <c r="I31" s="4"/>
      <c r="J31" s="4"/>
      <c r="K31" s="4"/>
      <c r="L31" s="5" t="s">
        <v>44</v>
      </c>
      <c r="M31" t="s">
        <v>54</v>
      </c>
      <c r="N31" s="6" t="s">
        <v>46</v>
      </c>
      <c r="O31" s="6">
        <v>1</v>
      </c>
      <c r="P31"/>
      <c r="R31" s="7">
        <v>452</v>
      </c>
      <c r="S31" s="8">
        <v>41.547562800000001</v>
      </c>
      <c r="T31" t="s">
        <v>88</v>
      </c>
      <c r="X31" s="8">
        <v>1.31978342</v>
      </c>
      <c r="Y31" t="s">
        <v>88</v>
      </c>
      <c r="AL31" s="3"/>
    </row>
    <row r="32" spans="1:38" x14ac:dyDescent="0.2">
      <c r="A32" t="s">
        <v>203</v>
      </c>
      <c r="B32" t="s">
        <v>204</v>
      </c>
      <c r="C32" s="20" t="s">
        <v>205</v>
      </c>
      <c r="D32" s="20" t="s">
        <v>206</v>
      </c>
      <c r="E32" t="s">
        <v>85</v>
      </c>
      <c r="H32" s="9"/>
      <c r="I32" s="4"/>
      <c r="J32" s="4"/>
      <c r="K32" s="4" t="s">
        <v>73</v>
      </c>
      <c r="L32" s="5" t="s">
        <v>44</v>
      </c>
      <c r="M32" t="s">
        <v>207</v>
      </c>
      <c r="N32" s="6" t="s">
        <v>46</v>
      </c>
      <c r="O32" s="6" t="s">
        <v>208</v>
      </c>
      <c r="P32"/>
      <c r="Q32" s="6" t="s">
        <v>74</v>
      </c>
      <c r="R32" s="7"/>
      <c r="S32" s="8"/>
      <c r="X32" s="8"/>
      <c r="AL32" s="3"/>
    </row>
    <row r="33" spans="1:38" x14ac:dyDescent="0.2">
      <c r="A33" t="s">
        <v>209</v>
      </c>
      <c r="B33" t="s">
        <v>204</v>
      </c>
      <c r="C33" s="20" t="s">
        <v>210</v>
      </c>
      <c r="D33" s="20" t="s">
        <v>211</v>
      </c>
      <c r="E33" t="s">
        <v>212</v>
      </c>
      <c r="L33" s="5" t="s">
        <v>63</v>
      </c>
      <c r="M33" t="s">
        <v>207</v>
      </c>
      <c r="N33" s="6" t="s">
        <v>46</v>
      </c>
      <c r="O33" s="6">
        <v>2</v>
      </c>
      <c r="P33"/>
      <c r="Q33" s="6" t="s">
        <v>74</v>
      </c>
    </row>
    <row r="34" spans="1:38" x14ac:dyDescent="0.2">
      <c r="A34" t="s">
        <v>213</v>
      </c>
      <c r="B34" t="s">
        <v>204</v>
      </c>
      <c r="C34" s="20" t="s">
        <v>214</v>
      </c>
      <c r="D34" s="20" t="s">
        <v>215</v>
      </c>
      <c r="E34" t="s">
        <v>216</v>
      </c>
      <c r="H34" s="4"/>
      <c r="I34" s="4"/>
      <c r="J34" s="4"/>
      <c r="K34" s="9" t="s">
        <v>217</v>
      </c>
      <c r="L34" s="6" t="s">
        <v>63</v>
      </c>
      <c r="M34" t="s">
        <v>207</v>
      </c>
      <c r="N34" s="6" t="s">
        <v>46</v>
      </c>
      <c r="O34" s="6">
        <v>2</v>
      </c>
      <c r="P34"/>
      <c r="R34" s="7"/>
    </row>
    <row r="35" spans="1:38" x14ac:dyDescent="0.2">
      <c r="A35" t="s">
        <v>218</v>
      </c>
      <c r="B35" t="s">
        <v>204</v>
      </c>
      <c r="C35" s="20" t="s">
        <v>219</v>
      </c>
      <c r="D35" s="20" t="s">
        <v>220</v>
      </c>
      <c r="E35" t="s">
        <v>221</v>
      </c>
      <c r="L35" s="5" t="s">
        <v>117</v>
      </c>
      <c r="M35" t="s">
        <v>207</v>
      </c>
      <c r="N35" s="6" t="s">
        <v>65</v>
      </c>
      <c r="O35" s="6">
        <v>2</v>
      </c>
      <c r="P35"/>
    </row>
    <row r="36" spans="1:38" x14ac:dyDescent="0.2">
      <c r="A36" t="s">
        <v>222</v>
      </c>
      <c r="B36" t="s">
        <v>204</v>
      </c>
      <c r="C36" s="20" t="s">
        <v>223</v>
      </c>
      <c r="D36" s="20" t="s">
        <v>224</v>
      </c>
      <c r="E36" t="s">
        <v>225</v>
      </c>
      <c r="H36" s="9" t="s">
        <v>226</v>
      </c>
      <c r="I36" s="3" t="s">
        <v>227</v>
      </c>
      <c r="J36" s="9" t="s">
        <v>228</v>
      </c>
      <c r="K36" s="9" t="s">
        <v>229</v>
      </c>
      <c r="L36" s="6" t="s">
        <v>63</v>
      </c>
      <c r="M36" t="s">
        <v>207</v>
      </c>
      <c r="N36" s="6" t="s">
        <v>46</v>
      </c>
      <c r="O36" s="6">
        <v>1</v>
      </c>
      <c r="P36"/>
      <c r="R36" s="7"/>
    </row>
    <row r="37" spans="1:38" x14ac:dyDescent="0.2">
      <c r="A37" t="s">
        <v>230</v>
      </c>
      <c r="B37" t="s">
        <v>204</v>
      </c>
      <c r="C37" s="20" t="s">
        <v>231</v>
      </c>
      <c r="D37" s="20" t="s">
        <v>232</v>
      </c>
      <c r="E37" t="s">
        <v>233</v>
      </c>
      <c r="H37" s="4" t="s">
        <v>234</v>
      </c>
      <c r="I37" s="4"/>
      <c r="J37" s="4"/>
      <c r="K37" s="4"/>
      <c r="L37" s="6" t="s">
        <v>117</v>
      </c>
      <c r="M37" t="s">
        <v>207</v>
      </c>
      <c r="N37" s="6" t="s">
        <v>55</v>
      </c>
      <c r="O37" s="6">
        <v>2</v>
      </c>
      <c r="P37"/>
      <c r="Q37" s="6" t="s">
        <v>74</v>
      </c>
      <c r="R37" s="7"/>
    </row>
    <row r="38" spans="1:38" x14ac:dyDescent="0.2">
      <c r="A38" t="s">
        <v>235</v>
      </c>
      <c r="B38" t="s">
        <v>204</v>
      </c>
      <c r="C38" s="20" t="s">
        <v>236</v>
      </c>
      <c r="D38" s="20" t="s">
        <v>237</v>
      </c>
      <c r="E38" t="s">
        <v>238</v>
      </c>
      <c r="I38" s="3"/>
      <c r="J38" s="3"/>
      <c r="L38" s="6" t="s">
        <v>94</v>
      </c>
      <c r="M38" t="s">
        <v>64</v>
      </c>
      <c r="N38" s="6" t="s">
        <v>65</v>
      </c>
      <c r="O38" s="6">
        <v>3</v>
      </c>
      <c r="P38"/>
      <c r="R38" s="3"/>
      <c r="AL38" s="3"/>
    </row>
    <row r="39" spans="1:38" x14ac:dyDescent="0.2">
      <c r="A39" t="s">
        <v>239</v>
      </c>
      <c r="B39" s="9" t="s">
        <v>204</v>
      </c>
      <c r="C39" s="66" t="s">
        <v>240</v>
      </c>
      <c r="D39" s="20" t="s">
        <v>241</v>
      </c>
      <c r="E39" t="s">
        <v>242</v>
      </c>
      <c r="H39" s="4"/>
      <c r="I39" s="9" t="s">
        <v>243</v>
      </c>
      <c r="J39" s="4"/>
      <c r="K39" s="4"/>
      <c r="L39" s="6" t="s">
        <v>94</v>
      </c>
      <c r="M39" t="s">
        <v>64</v>
      </c>
      <c r="N39" s="6" t="s">
        <v>65</v>
      </c>
      <c r="O39" s="6">
        <v>2</v>
      </c>
      <c r="P39" s="7">
        <v>113</v>
      </c>
      <c r="Q39" s="7"/>
      <c r="R39" s="7"/>
    </row>
    <row r="40" spans="1:38" x14ac:dyDescent="0.2">
      <c r="A40" t="s">
        <v>244</v>
      </c>
      <c r="B40" s="9" t="s">
        <v>204</v>
      </c>
      <c r="C40" s="20" t="s">
        <v>245</v>
      </c>
      <c r="D40" s="20" t="s">
        <v>246</v>
      </c>
      <c r="E40" t="s">
        <v>201</v>
      </c>
      <c r="H40" s="4"/>
      <c r="I40" s="9"/>
      <c r="J40" s="4"/>
      <c r="K40" s="4"/>
      <c r="L40" s="6" t="s">
        <v>94</v>
      </c>
      <c r="M40" t="s">
        <v>64</v>
      </c>
      <c r="N40" s="6" t="s">
        <v>65</v>
      </c>
      <c r="O40" s="6">
        <v>2</v>
      </c>
      <c r="P40" s="7"/>
      <c r="Q40" s="7"/>
      <c r="R40" s="7"/>
    </row>
    <row r="41" spans="1:38" x14ac:dyDescent="0.2">
      <c r="A41" t="s">
        <v>247</v>
      </c>
      <c r="B41" t="s">
        <v>204</v>
      </c>
      <c r="C41" s="20" t="s">
        <v>248</v>
      </c>
      <c r="D41" s="20" t="s">
        <v>249</v>
      </c>
      <c r="E41" t="s">
        <v>250</v>
      </c>
      <c r="H41" t="s">
        <v>251</v>
      </c>
      <c r="I41" s="3"/>
      <c r="J41" s="3"/>
      <c r="K41" s="9" t="s">
        <v>252</v>
      </c>
      <c r="L41" s="5" t="s">
        <v>63</v>
      </c>
      <c r="M41" t="s">
        <v>207</v>
      </c>
      <c r="N41" s="6" t="s">
        <v>46</v>
      </c>
      <c r="O41" s="6">
        <v>2</v>
      </c>
      <c r="P41"/>
      <c r="Q41" s="6" t="s">
        <v>74</v>
      </c>
      <c r="R41" s="3"/>
    </row>
    <row r="42" spans="1:38" x14ac:dyDescent="0.2">
      <c r="A42" t="s">
        <v>253</v>
      </c>
      <c r="B42" t="s">
        <v>254</v>
      </c>
      <c r="C42" s="20" t="s">
        <v>255</v>
      </c>
      <c r="D42" s="20" t="s">
        <v>256</v>
      </c>
      <c r="E42" t="s">
        <v>257</v>
      </c>
      <c r="L42" s="6" t="s">
        <v>94</v>
      </c>
      <c r="M42" t="s">
        <v>64</v>
      </c>
      <c r="N42" s="6" t="s">
        <v>65</v>
      </c>
      <c r="O42" s="6">
        <v>1</v>
      </c>
      <c r="P42"/>
    </row>
    <row r="43" spans="1:38" x14ac:dyDescent="0.2">
      <c r="A43" t="s">
        <v>258</v>
      </c>
      <c r="B43" t="s">
        <v>259</v>
      </c>
      <c r="C43" s="20" t="s">
        <v>260</v>
      </c>
      <c r="D43" s="20" t="s">
        <v>261</v>
      </c>
      <c r="E43" t="s">
        <v>262</v>
      </c>
      <c r="L43" s="5" t="s">
        <v>44</v>
      </c>
      <c r="M43" t="s">
        <v>64</v>
      </c>
      <c r="N43" s="6" t="s">
        <v>55</v>
      </c>
      <c r="O43" s="6">
        <v>1</v>
      </c>
      <c r="P43"/>
    </row>
    <row r="44" spans="1:38" x14ac:dyDescent="0.2">
      <c r="A44" t="s">
        <v>263</v>
      </c>
      <c r="B44" t="s">
        <v>259</v>
      </c>
      <c r="C44" s="20" t="s">
        <v>260</v>
      </c>
      <c r="D44" s="20" t="s">
        <v>264</v>
      </c>
      <c r="E44" t="s">
        <v>265</v>
      </c>
      <c r="I44" s="3"/>
      <c r="J44" s="3"/>
      <c r="L44" s="6" t="s">
        <v>44</v>
      </c>
      <c r="M44" t="s">
        <v>64</v>
      </c>
      <c r="N44" s="6" t="s">
        <v>55</v>
      </c>
      <c r="O44" s="6">
        <v>1</v>
      </c>
      <c r="P44" s="6">
        <v>32</v>
      </c>
      <c r="R44" s="3"/>
      <c r="X44" s="8">
        <v>1.0929502129999999</v>
      </c>
      <c r="Y44" t="s">
        <v>88</v>
      </c>
      <c r="AD44" s="8">
        <v>5.0999999999999996</v>
      </c>
      <c r="AE44">
        <v>9</v>
      </c>
      <c r="AF44" s="8">
        <v>2.66</v>
      </c>
      <c r="AG44" s="8">
        <v>1.76</v>
      </c>
    </row>
    <row r="45" spans="1:38" x14ac:dyDescent="0.2">
      <c r="A45" t="s">
        <v>266</v>
      </c>
      <c r="B45" t="s">
        <v>259</v>
      </c>
      <c r="C45" s="20" t="s">
        <v>260</v>
      </c>
      <c r="D45" s="20" t="s">
        <v>267</v>
      </c>
      <c r="E45" t="s">
        <v>265</v>
      </c>
      <c r="L45" s="5" t="s">
        <v>44</v>
      </c>
      <c r="M45" t="s">
        <v>64</v>
      </c>
      <c r="N45" s="6" t="s">
        <v>55</v>
      </c>
      <c r="O45" s="6">
        <v>1</v>
      </c>
      <c r="P45"/>
    </row>
    <row r="46" spans="1:38" x14ac:dyDescent="0.2">
      <c r="A46" t="s">
        <v>268</v>
      </c>
      <c r="B46" t="s">
        <v>259</v>
      </c>
      <c r="C46" s="20" t="s">
        <v>260</v>
      </c>
      <c r="D46" s="20" t="s">
        <v>269</v>
      </c>
      <c r="E46" t="s">
        <v>265</v>
      </c>
      <c r="L46" s="5" t="s">
        <v>44</v>
      </c>
      <c r="M46" t="s">
        <v>64</v>
      </c>
      <c r="N46" s="6" t="s">
        <v>55</v>
      </c>
      <c r="O46" s="6">
        <v>1</v>
      </c>
      <c r="P46"/>
    </row>
    <row r="47" spans="1:38" x14ac:dyDescent="0.2">
      <c r="A47" t="s">
        <v>270</v>
      </c>
      <c r="B47" t="s">
        <v>259</v>
      </c>
      <c r="C47" s="20" t="s">
        <v>260</v>
      </c>
      <c r="D47" s="20" t="s">
        <v>271</v>
      </c>
      <c r="E47" t="s">
        <v>265</v>
      </c>
      <c r="L47" s="5" t="s">
        <v>44</v>
      </c>
      <c r="M47" t="s">
        <v>64</v>
      </c>
      <c r="N47" s="6" t="s">
        <v>55</v>
      </c>
      <c r="O47" s="6">
        <v>1</v>
      </c>
      <c r="P47"/>
    </row>
    <row r="48" spans="1:38" x14ac:dyDescent="0.2">
      <c r="A48" t="s">
        <v>272</v>
      </c>
      <c r="B48" t="s">
        <v>259</v>
      </c>
      <c r="C48" s="20" t="s">
        <v>273</v>
      </c>
      <c r="D48" s="20" t="s">
        <v>274</v>
      </c>
      <c r="E48" t="s">
        <v>275</v>
      </c>
      <c r="H48" s="4"/>
      <c r="I48" s="4"/>
      <c r="J48" s="4"/>
      <c r="K48" s="4"/>
      <c r="L48" s="6" t="s">
        <v>44</v>
      </c>
      <c r="M48" t="s">
        <v>64</v>
      </c>
      <c r="N48" s="6" t="s">
        <v>46</v>
      </c>
      <c r="O48" s="6" t="s">
        <v>208</v>
      </c>
      <c r="P48"/>
      <c r="R48" s="7"/>
      <c r="S48" s="8">
        <v>29.41</v>
      </c>
      <c r="T48" t="s">
        <v>88</v>
      </c>
      <c r="X48" s="8">
        <v>0.72622330000000002</v>
      </c>
      <c r="Y48" t="s">
        <v>88</v>
      </c>
    </row>
    <row r="49" spans="1:37" x14ac:dyDescent="0.2">
      <c r="A49" s="48" t="s">
        <v>2777</v>
      </c>
      <c r="B49" s="48" t="s">
        <v>259</v>
      </c>
      <c r="C49" s="67" t="s">
        <v>277</v>
      </c>
      <c r="D49" s="67" t="s">
        <v>2778</v>
      </c>
      <c r="E49" s="48" t="s">
        <v>2779</v>
      </c>
      <c r="F49" s="48"/>
      <c r="G49" s="48"/>
      <c r="H49" s="48" t="s">
        <v>276</v>
      </c>
      <c r="I49" s="48"/>
      <c r="J49" s="48"/>
      <c r="K49" s="48"/>
      <c r="L49" s="65" t="s">
        <v>279</v>
      </c>
      <c r="M49" s="48" t="s">
        <v>64</v>
      </c>
      <c r="N49" s="64" t="s">
        <v>65</v>
      </c>
      <c r="O49" s="64">
        <v>1</v>
      </c>
      <c r="P49"/>
      <c r="Q49" s="6" t="s">
        <v>74</v>
      </c>
      <c r="Z49" s="17">
        <v>48.7</v>
      </c>
      <c r="AA49">
        <v>1</v>
      </c>
      <c r="AF49" s="8">
        <v>9.1</v>
      </c>
      <c r="AG49" s="8">
        <v>3.9</v>
      </c>
    </row>
    <row r="50" spans="1:37" x14ac:dyDescent="0.2">
      <c r="A50" t="s">
        <v>280</v>
      </c>
      <c r="B50" t="s">
        <v>259</v>
      </c>
      <c r="C50" s="20" t="s">
        <v>277</v>
      </c>
      <c r="D50" s="20" t="s">
        <v>281</v>
      </c>
      <c r="E50" t="s">
        <v>282</v>
      </c>
      <c r="L50" s="5" t="s">
        <v>279</v>
      </c>
      <c r="M50" t="s">
        <v>64</v>
      </c>
      <c r="N50" s="6" t="s">
        <v>65</v>
      </c>
      <c r="O50" s="6">
        <v>2</v>
      </c>
      <c r="P50"/>
    </row>
    <row r="51" spans="1:37" x14ac:dyDescent="0.2">
      <c r="A51" t="s">
        <v>283</v>
      </c>
      <c r="B51" t="s">
        <v>259</v>
      </c>
      <c r="C51" s="20" t="s">
        <v>277</v>
      </c>
      <c r="D51" s="20" t="s">
        <v>284</v>
      </c>
      <c r="E51" t="s">
        <v>285</v>
      </c>
      <c r="L51" s="5" t="s">
        <v>279</v>
      </c>
      <c r="M51" t="s">
        <v>64</v>
      </c>
      <c r="N51" s="6" t="s">
        <v>65</v>
      </c>
      <c r="O51" s="6">
        <v>2</v>
      </c>
      <c r="P51"/>
    </row>
    <row r="52" spans="1:37" x14ac:dyDescent="0.2">
      <c r="A52" t="s">
        <v>286</v>
      </c>
      <c r="B52" t="s">
        <v>259</v>
      </c>
      <c r="C52" s="20" t="s">
        <v>287</v>
      </c>
      <c r="D52" s="20" t="s">
        <v>288</v>
      </c>
      <c r="E52" t="s">
        <v>265</v>
      </c>
      <c r="L52" s="5" t="s">
        <v>279</v>
      </c>
      <c r="M52" t="s">
        <v>64</v>
      </c>
      <c r="N52" s="6" t="s">
        <v>65</v>
      </c>
      <c r="O52" s="6">
        <v>1</v>
      </c>
      <c r="P52"/>
    </row>
    <row r="53" spans="1:37" x14ac:dyDescent="0.2">
      <c r="A53" t="s">
        <v>289</v>
      </c>
      <c r="B53" t="s">
        <v>259</v>
      </c>
      <c r="C53" s="20" t="s">
        <v>287</v>
      </c>
      <c r="D53" s="20" t="s">
        <v>290</v>
      </c>
      <c r="E53" t="s">
        <v>291</v>
      </c>
      <c r="L53" s="5" t="s">
        <v>279</v>
      </c>
      <c r="M53" t="s">
        <v>64</v>
      </c>
      <c r="N53" s="6" t="s">
        <v>65</v>
      </c>
      <c r="O53" s="6">
        <v>1</v>
      </c>
      <c r="P53"/>
    </row>
    <row r="54" spans="1:37" x14ac:dyDescent="0.2">
      <c r="A54" t="s">
        <v>292</v>
      </c>
      <c r="B54" t="s">
        <v>259</v>
      </c>
      <c r="C54" s="20" t="s">
        <v>287</v>
      </c>
      <c r="D54" s="20" t="s">
        <v>293</v>
      </c>
      <c r="E54" t="s">
        <v>262</v>
      </c>
      <c r="H54" s="4"/>
      <c r="I54" s="4"/>
      <c r="J54" s="4"/>
      <c r="K54" s="9" t="s">
        <v>294</v>
      </c>
      <c r="L54" s="5" t="s">
        <v>279</v>
      </c>
      <c r="M54" t="s">
        <v>64</v>
      </c>
      <c r="N54" s="6" t="s">
        <v>65</v>
      </c>
      <c r="O54" s="6">
        <v>1</v>
      </c>
      <c r="P54"/>
      <c r="R54" s="7"/>
      <c r="S54" s="8">
        <v>20.05749827</v>
      </c>
      <c r="T54" t="s">
        <v>88</v>
      </c>
    </row>
    <row r="55" spans="1:37" x14ac:dyDescent="0.2">
      <c r="A55" t="s">
        <v>295</v>
      </c>
      <c r="B55" t="s">
        <v>259</v>
      </c>
      <c r="C55" s="20" t="s">
        <v>287</v>
      </c>
      <c r="D55" s="20" t="s">
        <v>187</v>
      </c>
      <c r="E55" t="s">
        <v>188</v>
      </c>
      <c r="H55" s="4"/>
      <c r="I55" s="9" t="s">
        <v>296</v>
      </c>
      <c r="J55" s="4"/>
      <c r="K55" s="4"/>
      <c r="L55" s="5" t="s">
        <v>279</v>
      </c>
      <c r="M55" t="s">
        <v>64</v>
      </c>
      <c r="N55" s="6" t="s">
        <v>65</v>
      </c>
      <c r="O55" s="6">
        <v>1</v>
      </c>
      <c r="P55" s="6">
        <v>24</v>
      </c>
      <c r="R55" s="7"/>
    </row>
    <row r="56" spans="1:37" x14ac:dyDescent="0.2">
      <c r="A56" t="s">
        <v>297</v>
      </c>
      <c r="B56" t="s">
        <v>259</v>
      </c>
      <c r="C56" s="20" t="s">
        <v>287</v>
      </c>
      <c r="D56" s="20" t="s">
        <v>298</v>
      </c>
      <c r="E56" t="s">
        <v>299</v>
      </c>
      <c r="L56" s="5" t="s">
        <v>279</v>
      </c>
      <c r="M56" t="s">
        <v>64</v>
      </c>
      <c r="N56" s="6" t="s">
        <v>65</v>
      </c>
      <c r="O56" s="6">
        <v>1</v>
      </c>
      <c r="P56"/>
    </row>
    <row r="57" spans="1:37" x14ac:dyDescent="0.2">
      <c r="A57" t="s">
        <v>300</v>
      </c>
      <c r="B57" t="s">
        <v>259</v>
      </c>
      <c r="C57" s="20" t="s">
        <v>287</v>
      </c>
      <c r="D57" s="20" t="s">
        <v>301</v>
      </c>
      <c r="E57" t="s">
        <v>302</v>
      </c>
      <c r="H57" s="4"/>
      <c r="I57" s="4"/>
      <c r="J57" s="4"/>
      <c r="K57" s="9" t="s">
        <v>303</v>
      </c>
      <c r="L57" s="5" t="s">
        <v>279</v>
      </c>
      <c r="M57" t="s">
        <v>64</v>
      </c>
      <c r="N57" s="6" t="s">
        <v>65</v>
      </c>
      <c r="O57" s="6">
        <v>1</v>
      </c>
      <c r="P57"/>
      <c r="R57" s="7"/>
      <c r="S57" s="8">
        <v>34.084549848000002</v>
      </c>
      <c r="T57" t="s">
        <v>88</v>
      </c>
    </row>
    <row r="58" spans="1:37" x14ac:dyDescent="0.2">
      <c r="A58" t="s">
        <v>304</v>
      </c>
      <c r="B58" t="s">
        <v>259</v>
      </c>
      <c r="C58" s="20" t="s">
        <v>305</v>
      </c>
      <c r="D58" s="20" t="s">
        <v>306</v>
      </c>
      <c r="E58" t="s">
        <v>307</v>
      </c>
      <c r="L58" s="5" t="s">
        <v>279</v>
      </c>
      <c r="M58" t="s">
        <v>64</v>
      </c>
      <c r="N58" s="6" t="s">
        <v>65</v>
      </c>
      <c r="O58" s="6">
        <v>1</v>
      </c>
      <c r="P58"/>
    </row>
    <row r="59" spans="1:37" x14ac:dyDescent="0.2">
      <c r="A59" t="s">
        <v>308</v>
      </c>
      <c r="B59" t="s">
        <v>309</v>
      </c>
      <c r="C59" s="20" t="s">
        <v>310</v>
      </c>
      <c r="L59" s="6" t="s">
        <v>99</v>
      </c>
      <c r="M59" t="s">
        <v>64</v>
      </c>
      <c r="N59" s="6" t="s">
        <v>55</v>
      </c>
      <c r="O59" s="6">
        <v>1</v>
      </c>
      <c r="P59"/>
    </row>
    <row r="60" spans="1:37" x14ac:dyDescent="0.2">
      <c r="A60" t="s">
        <v>311</v>
      </c>
      <c r="B60" t="s">
        <v>309</v>
      </c>
      <c r="C60" s="20" t="s">
        <v>310</v>
      </c>
      <c r="D60" s="20" t="s">
        <v>312</v>
      </c>
      <c r="E60" t="s">
        <v>313</v>
      </c>
      <c r="I60" s="3"/>
      <c r="J60" s="3"/>
      <c r="L60" s="6" t="s">
        <v>99</v>
      </c>
      <c r="M60" t="s">
        <v>64</v>
      </c>
      <c r="N60" s="6" t="s">
        <v>55</v>
      </c>
      <c r="O60" s="6">
        <v>1</v>
      </c>
      <c r="P60"/>
      <c r="R60" s="3"/>
      <c r="S60" s="8">
        <v>14.6714608876146</v>
      </c>
      <c r="T60" t="s">
        <v>314</v>
      </c>
      <c r="X60" s="8">
        <v>9</v>
      </c>
      <c r="Y60" t="s">
        <v>315</v>
      </c>
      <c r="AH60" s="8">
        <v>0.40988102199999998</v>
      </c>
      <c r="AI60" t="s">
        <v>316</v>
      </c>
    </row>
    <row r="61" spans="1:37" x14ac:dyDescent="0.2">
      <c r="A61" t="s">
        <v>317</v>
      </c>
      <c r="B61" t="s">
        <v>309</v>
      </c>
      <c r="C61" s="20" t="s">
        <v>310</v>
      </c>
      <c r="D61" s="20" t="s">
        <v>318</v>
      </c>
      <c r="E61" t="s">
        <v>319</v>
      </c>
      <c r="F61">
        <v>1</v>
      </c>
      <c r="I61" s="3"/>
      <c r="J61" s="3"/>
      <c r="L61" s="5" t="s">
        <v>99</v>
      </c>
      <c r="M61" t="s">
        <v>64</v>
      </c>
      <c r="N61" s="6" t="s">
        <v>55</v>
      </c>
      <c r="O61" s="6">
        <v>1</v>
      </c>
      <c r="P61"/>
      <c r="R61" s="3"/>
      <c r="S61" s="8"/>
      <c r="X61" s="8"/>
      <c r="AH61" s="8"/>
    </row>
    <row r="62" spans="1:37" x14ac:dyDescent="0.2">
      <c r="A62" t="s">
        <v>320</v>
      </c>
      <c r="B62" t="s">
        <v>309</v>
      </c>
      <c r="C62" s="20" t="s">
        <v>310</v>
      </c>
      <c r="D62" s="20" t="s">
        <v>321</v>
      </c>
      <c r="E62" t="s">
        <v>322</v>
      </c>
      <c r="F62">
        <v>1</v>
      </c>
      <c r="I62" s="3"/>
      <c r="J62" s="3"/>
      <c r="L62" s="5" t="s">
        <v>99</v>
      </c>
      <c r="M62" t="s">
        <v>64</v>
      </c>
      <c r="N62" s="6" t="s">
        <v>55</v>
      </c>
      <c r="O62" s="6">
        <v>1</v>
      </c>
      <c r="P62"/>
      <c r="R62" s="3"/>
      <c r="S62" s="8"/>
      <c r="X62" s="8"/>
      <c r="AH62" s="8"/>
    </row>
    <row r="63" spans="1:37" x14ac:dyDescent="0.2">
      <c r="A63" t="s">
        <v>323</v>
      </c>
      <c r="B63" t="s">
        <v>309</v>
      </c>
      <c r="C63" s="20" t="s">
        <v>310</v>
      </c>
      <c r="D63" s="20" t="s">
        <v>324</v>
      </c>
      <c r="E63" t="s">
        <v>325</v>
      </c>
      <c r="I63" s="3"/>
      <c r="J63" s="3"/>
      <c r="L63" s="5" t="s">
        <v>99</v>
      </c>
      <c r="M63" t="s">
        <v>64</v>
      </c>
      <c r="N63" s="6" t="s">
        <v>55</v>
      </c>
      <c r="O63" s="6">
        <v>1</v>
      </c>
      <c r="P63"/>
      <c r="R63" s="3"/>
      <c r="S63" s="8"/>
      <c r="X63" s="8"/>
      <c r="AH63" s="8"/>
    </row>
    <row r="64" spans="1:37" x14ac:dyDescent="0.2">
      <c r="A64" t="s">
        <v>326</v>
      </c>
      <c r="B64" t="s">
        <v>309</v>
      </c>
      <c r="C64" s="20" t="s">
        <v>310</v>
      </c>
      <c r="D64" s="20" t="s">
        <v>327</v>
      </c>
      <c r="E64" t="s">
        <v>328</v>
      </c>
      <c r="I64" s="3"/>
      <c r="J64" s="3"/>
      <c r="K64" s="9" t="s">
        <v>329</v>
      </c>
      <c r="L64" s="5" t="s">
        <v>99</v>
      </c>
      <c r="M64" t="s">
        <v>64</v>
      </c>
      <c r="N64" s="6" t="s">
        <v>55</v>
      </c>
      <c r="O64" s="6">
        <v>1</v>
      </c>
      <c r="P64"/>
      <c r="Q64" s="6" t="s">
        <v>74</v>
      </c>
      <c r="R64" s="3"/>
      <c r="U64" s="18">
        <v>12.981538793093399</v>
      </c>
      <c r="V64" s="18">
        <v>102.631227856736</v>
      </c>
      <c r="W64">
        <v>10</v>
      </c>
      <c r="Z64" s="17">
        <v>5.7249999999999996</v>
      </c>
      <c r="AA64">
        <v>20</v>
      </c>
      <c r="AD64" s="17">
        <v>5.96</v>
      </c>
      <c r="AE64" s="18">
        <v>10</v>
      </c>
      <c r="AF64" s="8">
        <v>4.2</v>
      </c>
      <c r="AG64" s="8">
        <v>2.6949999999999998</v>
      </c>
      <c r="AH64" s="8">
        <v>0.41</v>
      </c>
      <c r="AI64" t="s">
        <v>330</v>
      </c>
      <c r="AJ64" s="17">
        <v>0.31686177469186599</v>
      </c>
      <c r="AK64">
        <v>5</v>
      </c>
    </row>
    <row r="65" spans="1:37" x14ac:dyDescent="0.2">
      <c r="A65" t="s">
        <v>331</v>
      </c>
      <c r="B65" t="s">
        <v>309</v>
      </c>
      <c r="C65" s="20" t="s">
        <v>332</v>
      </c>
      <c r="D65" s="20" t="s">
        <v>333</v>
      </c>
      <c r="E65" t="s">
        <v>319</v>
      </c>
      <c r="I65" s="3"/>
      <c r="J65" s="3"/>
      <c r="L65" s="5" t="s">
        <v>99</v>
      </c>
      <c r="M65" t="s">
        <v>64</v>
      </c>
      <c r="N65" s="6" t="s">
        <v>65</v>
      </c>
      <c r="O65" s="6">
        <v>1</v>
      </c>
      <c r="P65"/>
      <c r="R65" s="3"/>
    </row>
    <row r="66" spans="1:37" x14ac:dyDescent="0.2">
      <c r="A66" t="s">
        <v>334</v>
      </c>
      <c r="B66" t="s">
        <v>309</v>
      </c>
      <c r="C66" s="20" t="s">
        <v>335</v>
      </c>
      <c r="D66" s="20" t="s">
        <v>336</v>
      </c>
      <c r="E66" t="s">
        <v>337</v>
      </c>
      <c r="F66">
        <v>1</v>
      </c>
      <c r="I66" s="3"/>
      <c r="J66" s="3"/>
      <c r="L66" s="5" t="s">
        <v>99</v>
      </c>
      <c r="M66" t="s">
        <v>64</v>
      </c>
      <c r="N66" s="6" t="s">
        <v>65</v>
      </c>
      <c r="O66" s="6">
        <v>1</v>
      </c>
      <c r="P66"/>
      <c r="R66" s="3"/>
    </row>
    <row r="67" spans="1:37" x14ac:dyDescent="0.2">
      <c r="A67" t="s">
        <v>338</v>
      </c>
      <c r="B67" t="s">
        <v>339</v>
      </c>
      <c r="C67" s="20" t="s">
        <v>340</v>
      </c>
      <c r="D67" s="20" t="s">
        <v>341</v>
      </c>
      <c r="E67" t="s">
        <v>69</v>
      </c>
      <c r="L67" s="5" t="s">
        <v>342</v>
      </c>
      <c r="M67" t="s">
        <v>64</v>
      </c>
      <c r="N67" s="6" t="s">
        <v>65</v>
      </c>
      <c r="O67" s="6">
        <v>2</v>
      </c>
      <c r="P67"/>
    </row>
    <row r="68" spans="1:37" x14ac:dyDescent="0.2">
      <c r="A68" t="s">
        <v>343</v>
      </c>
      <c r="B68" t="s">
        <v>339</v>
      </c>
      <c r="C68" s="20" t="s">
        <v>344</v>
      </c>
      <c r="D68" s="20" t="s">
        <v>345</v>
      </c>
      <c r="E68" s="3" t="s">
        <v>346</v>
      </c>
      <c r="F68">
        <v>1</v>
      </c>
      <c r="L68" s="21" t="s">
        <v>347</v>
      </c>
      <c r="M68" s="11" t="s">
        <v>64</v>
      </c>
      <c r="N68" s="22" t="s">
        <v>65</v>
      </c>
      <c r="O68" s="22">
        <v>3</v>
      </c>
      <c r="P68"/>
    </row>
    <row r="69" spans="1:37" x14ac:dyDescent="0.2">
      <c r="A69" s="11" t="s">
        <v>348</v>
      </c>
      <c r="B69" s="11" t="s">
        <v>339</v>
      </c>
      <c r="C69" s="20" t="s">
        <v>349</v>
      </c>
      <c r="D69" s="20" t="s">
        <v>350</v>
      </c>
      <c r="E69" t="s">
        <v>351</v>
      </c>
      <c r="H69" s="23"/>
      <c r="I69" s="23"/>
      <c r="J69" s="23"/>
      <c r="K69" s="24"/>
      <c r="L69" s="21" t="s">
        <v>347</v>
      </c>
      <c r="M69" s="11" t="s">
        <v>64</v>
      </c>
      <c r="N69" s="22" t="s">
        <v>65</v>
      </c>
      <c r="O69" s="22">
        <v>2</v>
      </c>
      <c r="P69" s="22"/>
      <c r="Q69" s="22"/>
      <c r="R69" s="22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spans="1:37" ht="15" customHeight="1" x14ac:dyDescent="0.2">
      <c r="A70" t="s">
        <v>352</v>
      </c>
      <c r="B70" t="s">
        <v>339</v>
      </c>
      <c r="C70" s="20" t="s">
        <v>349</v>
      </c>
      <c r="D70" s="20" t="s">
        <v>353</v>
      </c>
      <c r="E70" t="s">
        <v>85</v>
      </c>
      <c r="I70" s="3"/>
      <c r="J70" s="3"/>
      <c r="L70" s="6" t="s">
        <v>347</v>
      </c>
      <c r="M70" t="s">
        <v>64</v>
      </c>
      <c r="N70" s="6" t="s">
        <v>46</v>
      </c>
      <c r="O70" s="6">
        <v>2</v>
      </c>
      <c r="P70"/>
      <c r="R70" s="3"/>
    </row>
    <row r="71" spans="1:37" x14ac:dyDescent="0.2">
      <c r="A71" t="s">
        <v>354</v>
      </c>
      <c r="B71" t="s">
        <v>339</v>
      </c>
      <c r="C71" s="20" t="s">
        <v>355</v>
      </c>
      <c r="D71" s="20" t="s">
        <v>356</v>
      </c>
      <c r="E71" t="s">
        <v>69</v>
      </c>
      <c r="L71" s="5" t="s">
        <v>342</v>
      </c>
      <c r="M71" t="s">
        <v>64</v>
      </c>
      <c r="N71" s="6" t="s">
        <v>65</v>
      </c>
      <c r="O71" s="6">
        <v>2</v>
      </c>
      <c r="P71"/>
      <c r="Z71" s="17"/>
    </row>
    <row r="72" spans="1:37" x14ac:dyDescent="0.2">
      <c r="A72" t="s">
        <v>357</v>
      </c>
      <c r="B72" t="s">
        <v>339</v>
      </c>
      <c r="C72" s="20" t="s">
        <v>355</v>
      </c>
      <c r="D72" s="20" t="s">
        <v>358</v>
      </c>
      <c r="E72" t="s">
        <v>359</v>
      </c>
      <c r="L72" s="5" t="s">
        <v>342</v>
      </c>
      <c r="M72" t="s">
        <v>64</v>
      </c>
      <c r="N72" s="6" t="s">
        <v>65</v>
      </c>
      <c r="O72" s="6">
        <v>2</v>
      </c>
      <c r="P72"/>
    </row>
    <row r="73" spans="1:37" x14ac:dyDescent="0.2">
      <c r="A73" t="s">
        <v>360</v>
      </c>
      <c r="B73" t="s">
        <v>339</v>
      </c>
      <c r="C73" s="20" t="s">
        <v>355</v>
      </c>
      <c r="D73" s="20" t="s">
        <v>361</v>
      </c>
      <c r="E73" t="s">
        <v>362</v>
      </c>
      <c r="I73" s="3"/>
      <c r="J73" s="3"/>
      <c r="L73" s="5" t="s">
        <v>342</v>
      </c>
      <c r="M73" t="s">
        <v>64</v>
      </c>
      <c r="N73" s="6" t="s">
        <v>65</v>
      </c>
      <c r="O73" s="6">
        <v>2</v>
      </c>
      <c r="P73"/>
      <c r="Q73" s="6" t="s">
        <v>74</v>
      </c>
      <c r="R73" s="3"/>
      <c r="S73">
        <v>24.432896679999999</v>
      </c>
      <c r="T73" t="s">
        <v>66</v>
      </c>
      <c r="Z73" s="17">
        <v>122.325</v>
      </c>
      <c r="AA73">
        <v>4</v>
      </c>
      <c r="AF73" s="8">
        <v>7.4249999999999998</v>
      </c>
      <c r="AG73" s="8">
        <v>5.4249999999999998</v>
      </c>
    </row>
    <row r="74" spans="1:37" ht="16" thickBot="1" x14ac:dyDescent="0.25">
      <c r="A74" t="s">
        <v>363</v>
      </c>
      <c r="B74" t="s">
        <v>339</v>
      </c>
      <c r="C74" s="20" t="s">
        <v>355</v>
      </c>
      <c r="D74" s="20" t="s">
        <v>364</v>
      </c>
      <c r="L74" s="5" t="s">
        <v>342</v>
      </c>
      <c r="M74" t="s">
        <v>64</v>
      </c>
      <c r="N74" s="6" t="s">
        <v>65</v>
      </c>
      <c r="O74" s="6">
        <v>2</v>
      </c>
      <c r="P74"/>
    </row>
    <row r="75" spans="1:37" x14ac:dyDescent="0.2">
      <c r="A75" t="s">
        <v>365</v>
      </c>
      <c r="B75" t="s">
        <v>339</v>
      </c>
      <c r="C75" s="20" t="s">
        <v>355</v>
      </c>
      <c r="D75" s="20" t="s">
        <v>366</v>
      </c>
      <c r="E75" t="s">
        <v>278</v>
      </c>
      <c r="L75" s="5" t="s">
        <v>342</v>
      </c>
      <c r="M75" t="s">
        <v>64</v>
      </c>
      <c r="N75" s="6" t="s">
        <v>65</v>
      </c>
      <c r="O75" s="6">
        <v>2</v>
      </c>
      <c r="P75"/>
      <c r="U75" s="26"/>
      <c r="X75">
        <v>166.14279999999999</v>
      </c>
      <c r="Y75" t="s">
        <v>66</v>
      </c>
    </row>
    <row r="76" spans="1:37" x14ac:dyDescent="0.2">
      <c r="A76" t="s">
        <v>367</v>
      </c>
      <c r="B76" t="s">
        <v>339</v>
      </c>
      <c r="C76" s="20" t="s">
        <v>368</v>
      </c>
      <c r="D76" s="20" t="s">
        <v>369</v>
      </c>
      <c r="E76" t="s">
        <v>370</v>
      </c>
      <c r="F76">
        <v>1</v>
      </c>
      <c r="L76" s="6" t="s">
        <v>347</v>
      </c>
      <c r="M76" t="s">
        <v>64</v>
      </c>
      <c r="N76" s="6" t="s">
        <v>55</v>
      </c>
      <c r="O76" s="6">
        <v>2</v>
      </c>
      <c r="P76"/>
    </row>
    <row r="77" spans="1:37" x14ac:dyDescent="0.2">
      <c r="A77" t="s">
        <v>371</v>
      </c>
      <c r="B77" t="s">
        <v>339</v>
      </c>
      <c r="C77" s="20" t="s">
        <v>372</v>
      </c>
      <c r="D77" s="20" t="s">
        <v>373</v>
      </c>
      <c r="E77" t="s">
        <v>374</v>
      </c>
      <c r="I77" s="3"/>
      <c r="J77" s="3"/>
      <c r="L77" s="6" t="s">
        <v>347</v>
      </c>
      <c r="M77" t="s">
        <v>64</v>
      </c>
      <c r="N77" s="6" t="s">
        <v>65</v>
      </c>
      <c r="O77" s="6">
        <v>2</v>
      </c>
      <c r="P77"/>
      <c r="R77" s="3"/>
      <c r="S77" s="8">
        <v>23.41571429</v>
      </c>
      <c r="T77" t="s">
        <v>375</v>
      </c>
      <c r="AH77" s="8">
        <v>0.49249999999999999</v>
      </c>
      <c r="AI77" t="s">
        <v>376</v>
      </c>
    </row>
    <row r="78" spans="1:37" x14ac:dyDescent="0.2">
      <c r="A78" t="s">
        <v>377</v>
      </c>
      <c r="B78" t="s">
        <v>339</v>
      </c>
      <c r="C78" s="20" t="s">
        <v>378</v>
      </c>
      <c r="D78" s="20" t="s">
        <v>379</v>
      </c>
      <c r="E78" t="s">
        <v>380</v>
      </c>
      <c r="L78" s="5" t="s">
        <v>342</v>
      </c>
      <c r="M78" t="s">
        <v>64</v>
      </c>
      <c r="N78" s="6" t="s">
        <v>65</v>
      </c>
      <c r="O78" s="6">
        <v>2</v>
      </c>
      <c r="P78"/>
      <c r="S78">
        <v>16.62</v>
      </c>
      <c r="T78" t="s">
        <v>381</v>
      </c>
    </row>
    <row r="79" spans="1:37" x14ac:dyDescent="0.2">
      <c r="A79" t="s">
        <v>382</v>
      </c>
      <c r="B79" t="s">
        <v>339</v>
      </c>
      <c r="C79" s="20" t="s">
        <v>378</v>
      </c>
      <c r="D79" s="20" t="s">
        <v>383</v>
      </c>
      <c r="E79" t="s">
        <v>384</v>
      </c>
      <c r="L79" s="5" t="s">
        <v>342</v>
      </c>
      <c r="M79" t="s">
        <v>64</v>
      </c>
      <c r="N79" s="6" t="s">
        <v>65</v>
      </c>
      <c r="O79" s="6">
        <v>2</v>
      </c>
      <c r="P79"/>
      <c r="X79">
        <v>36.58</v>
      </c>
      <c r="Y79" t="s">
        <v>66</v>
      </c>
    </row>
    <row r="80" spans="1:37" x14ac:dyDescent="0.2">
      <c r="A80" t="s">
        <v>385</v>
      </c>
      <c r="B80" t="s">
        <v>339</v>
      </c>
      <c r="C80" s="20" t="s">
        <v>378</v>
      </c>
      <c r="D80" s="20" t="s">
        <v>386</v>
      </c>
      <c r="E80" t="s">
        <v>387</v>
      </c>
      <c r="L80" s="5" t="s">
        <v>342</v>
      </c>
      <c r="M80" t="s">
        <v>64</v>
      </c>
      <c r="N80" s="6" t="s">
        <v>65</v>
      </c>
      <c r="O80" s="6">
        <v>2</v>
      </c>
      <c r="P80"/>
    </row>
    <row r="81" spans="1:39" x14ac:dyDescent="0.2">
      <c r="A81" t="s">
        <v>388</v>
      </c>
      <c r="B81" t="s">
        <v>339</v>
      </c>
      <c r="C81" s="20" t="s">
        <v>389</v>
      </c>
      <c r="D81" s="20" t="s">
        <v>390</v>
      </c>
      <c r="E81" t="s">
        <v>374</v>
      </c>
      <c r="L81" s="5" t="s">
        <v>342</v>
      </c>
      <c r="M81" t="s">
        <v>64</v>
      </c>
      <c r="N81" s="6" t="s">
        <v>65</v>
      </c>
      <c r="O81" s="6">
        <v>2</v>
      </c>
      <c r="P81"/>
      <c r="Q81" s="6" t="s">
        <v>74</v>
      </c>
      <c r="Z81" s="17">
        <v>111.533333333333</v>
      </c>
      <c r="AA81">
        <v>6</v>
      </c>
      <c r="AF81" s="8">
        <v>10.382999999999999</v>
      </c>
      <c r="AG81" s="8">
        <v>4.9166999999999996</v>
      </c>
    </row>
    <row r="82" spans="1:39" x14ac:dyDescent="0.2">
      <c r="A82" t="s">
        <v>391</v>
      </c>
      <c r="B82" t="s">
        <v>339</v>
      </c>
      <c r="C82" s="20" t="s">
        <v>392</v>
      </c>
      <c r="D82" s="20" t="s">
        <v>393</v>
      </c>
      <c r="E82" t="s">
        <v>394</v>
      </c>
      <c r="L82" s="5" t="s">
        <v>347</v>
      </c>
      <c r="M82" t="s">
        <v>64</v>
      </c>
      <c r="N82" s="6" t="s">
        <v>65</v>
      </c>
      <c r="O82" s="6">
        <v>2</v>
      </c>
      <c r="P82"/>
      <c r="Q82" s="6" t="s">
        <v>74</v>
      </c>
      <c r="S82">
        <v>9.0087282579999997</v>
      </c>
      <c r="T82" t="s">
        <v>395</v>
      </c>
      <c r="X82">
        <v>1661.3</v>
      </c>
      <c r="Y82" t="s">
        <v>66</v>
      </c>
      <c r="AH82" s="8">
        <v>0.73331999999999997</v>
      </c>
      <c r="AI82" t="s">
        <v>66</v>
      </c>
    </row>
    <row r="83" spans="1:39" x14ac:dyDescent="0.2">
      <c r="A83" t="s">
        <v>396</v>
      </c>
      <c r="B83" t="s">
        <v>339</v>
      </c>
      <c r="C83" s="20" t="s">
        <v>397</v>
      </c>
      <c r="D83" s="20" t="s">
        <v>187</v>
      </c>
      <c r="E83" t="s">
        <v>188</v>
      </c>
      <c r="L83" s="5" t="s">
        <v>342</v>
      </c>
      <c r="M83" t="s">
        <v>64</v>
      </c>
      <c r="N83" s="6" t="s">
        <v>55</v>
      </c>
      <c r="O83" s="6">
        <v>2</v>
      </c>
      <c r="P83"/>
      <c r="AL83" s="11"/>
      <c r="AM83" s="11"/>
    </row>
    <row r="84" spans="1:39" x14ac:dyDescent="0.2">
      <c r="A84" t="s">
        <v>398</v>
      </c>
      <c r="B84" t="s">
        <v>339</v>
      </c>
      <c r="C84" s="20" t="s">
        <v>399</v>
      </c>
      <c r="D84" s="20" t="s">
        <v>400</v>
      </c>
      <c r="E84" t="s">
        <v>401</v>
      </c>
      <c r="L84" s="5" t="s">
        <v>347</v>
      </c>
      <c r="M84" t="s">
        <v>64</v>
      </c>
      <c r="N84" s="6" t="s">
        <v>65</v>
      </c>
      <c r="O84" s="6">
        <v>3</v>
      </c>
      <c r="P84"/>
      <c r="AL84" s="11"/>
      <c r="AM84" s="11"/>
    </row>
    <row r="85" spans="1:39" ht="17.25" customHeight="1" x14ac:dyDescent="0.2">
      <c r="A85" t="s">
        <v>402</v>
      </c>
      <c r="B85" t="s">
        <v>403</v>
      </c>
      <c r="C85" s="20" t="s">
        <v>404</v>
      </c>
      <c r="D85" s="20" t="s">
        <v>405</v>
      </c>
      <c r="E85" t="s">
        <v>85</v>
      </c>
      <c r="I85" s="9" t="s">
        <v>406</v>
      </c>
      <c r="J85" s="9" t="s">
        <v>407</v>
      </c>
      <c r="L85" s="5" t="s">
        <v>44</v>
      </c>
      <c r="M85" t="s">
        <v>207</v>
      </c>
      <c r="N85" s="6" t="s">
        <v>46</v>
      </c>
      <c r="O85" s="6">
        <v>1</v>
      </c>
      <c r="P85"/>
      <c r="R85" s="3"/>
      <c r="S85" s="8">
        <v>22.682298930000002</v>
      </c>
      <c r="T85" t="s">
        <v>88</v>
      </c>
      <c r="X85" s="8">
        <v>0.11</v>
      </c>
      <c r="Y85" t="s">
        <v>408</v>
      </c>
    </row>
    <row r="86" spans="1:39" x14ac:dyDescent="0.2">
      <c r="A86" t="s">
        <v>409</v>
      </c>
      <c r="B86" t="s">
        <v>403</v>
      </c>
      <c r="C86" s="20" t="s">
        <v>410</v>
      </c>
      <c r="D86" s="20" t="s">
        <v>411</v>
      </c>
      <c r="E86" t="s">
        <v>412</v>
      </c>
      <c r="H86" s="4"/>
      <c r="I86" s="4"/>
      <c r="J86" s="4"/>
      <c r="K86" s="9" t="s">
        <v>413</v>
      </c>
      <c r="L86" s="6" t="s">
        <v>81</v>
      </c>
      <c r="M86" t="s">
        <v>207</v>
      </c>
      <c r="N86" s="6" t="s">
        <v>46</v>
      </c>
      <c r="O86" s="6" t="s">
        <v>208</v>
      </c>
      <c r="P86"/>
      <c r="R86" s="7"/>
      <c r="S86">
        <v>16.399999999999999</v>
      </c>
      <c r="T86" t="s">
        <v>414</v>
      </c>
    </row>
    <row r="87" spans="1:39" x14ac:dyDescent="0.2">
      <c r="A87" t="s">
        <v>415</v>
      </c>
      <c r="B87" t="s">
        <v>403</v>
      </c>
      <c r="C87" s="20" t="s">
        <v>410</v>
      </c>
      <c r="D87" s="20" t="s">
        <v>187</v>
      </c>
      <c r="E87" t="s">
        <v>188</v>
      </c>
      <c r="I87" t="s">
        <v>416</v>
      </c>
      <c r="J87" s="3"/>
      <c r="K87" s="3"/>
      <c r="L87" s="5" t="s">
        <v>81</v>
      </c>
      <c r="M87" t="s">
        <v>207</v>
      </c>
      <c r="N87" s="6" t="s">
        <v>46</v>
      </c>
      <c r="O87" s="6" t="s">
        <v>208</v>
      </c>
      <c r="P87"/>
      <c r="R87" s="3"/>
    </row>
    <row r="88" spans="1:39" x14ac:dyDescent="0.2">
      <c r="A88" t="s">
        <v>417</v>
      </c>
      <c r="B88" t="s">
        <v>403</v>
      </c>
      <c r="C88" s="20" t="s">
        <v>410</v>
      </c>
      <c r="D88" s="20" t="s">
        <v>418</v>
      </c>
      <c r="E88" t="s">
        <v>419</v>
      </c>
      <c r="H88" s="4"/>
      <c r="I88" s="9" t="s">
        <v>420</v>
      </c>
      <c r="J88" s="4"/>
      <c r="K88" s="9" t="s">
        <v>421</v>
      </c>
      <c r="L88" s="5" t="s">
        <v>81</v>
      </c>
      <c r="M88" t="s">
        <v>207</v>
      </c>
      <c r="N88" s="6" t="s">
        <v>46</v>
      </c>
      <c r="O88" s="6" t="s">
        <v>208</v>
      </c>
      <c r="P88" s="6">
        <v>116</v>
      </c>
      <c r="Q88" s="6" t="s">
        <v>74</v>
      </c>
      <c r="R88" s="7">
        <v>513</v>
      </c>
      <c r="S88" s="8">
        <v>30.155489129999999</v>
      </c>
      <c r="T88" t="s">
        <v>88</v>
      </c>
      <c r="Z88">
        <v>5.5899999999999998E-2</v>
      </c>
      <c r="AA88">
        <v>100</v>
      </c>
      <c r="AC88" t="s">
        <v>422</v>
      </c>
      <c r="AD88" s="17">
        <v>8.5000000000000006E-2</v>
      </c>
      <c r="AE88" s="18">
        <v>40</v>
      </c>
      <c r="AF88" s="17">
        <v>0.96666666666666601</v>
      </c>
      <c r="AG88" s="17">
        <v>0.24444444444444399</v>
      </c>
    </row>
    <row r="89" spans="1:39" x14ac:dyDescent="0.2">
      <c r="A89" s="9" t="s">
        <v>423</v>
      </c>
      <c r="B89" s="9" t="s">
        <v>403</v>
      </c>
      <c r="C89" s="66" t="s">
        <v>424</v>
      </c>
      <c r="D89" s="20" t="s">
        <v>425</v>
      </c>
      <c r="E89" t="s">
        <v>85</v>
      </c>
      <c r="H89" s="4"/>
      <c r="I89" s="9" t="s">
        <v>426</v>
      </c>
      <c r="J89" s="9" t="s">
        <v>427</v>
      </c>
      <c r="K89" s="9" t="s">
        <v>428</v>
      </c>
      <c r="L89" s="5" t="s">
        <v>44</v>
      </c>
      <c r="M89" t="s">
        <v>112</v>
      </c>
      <c r="N89" s="6" t="s">
        <v>46</v>
      </c>
      <c r="O89" s="6">
        <v>1</v>
      </c>
      <c r="P89"/>
      <c r="Q89" s="6" t="s">
        <v>74</v>
      </c>
      <c r="R89" s="7"/>
      <c r="X89" s="8">
        <v>2.1</v>
      </c>
      <c r="Y89" t="s">
        <v>429</v>
      </c>
    </row>
    <row r="90" spans="1:39" x14ac:dyDescent="0.2">
      <c r="A90" s="9" t="s">
        <v>430</v>
      </c>
      <c r="B90" s="9" t="s">
        <v>403</v>
      </c>
      <c r="C90" s="66" t="s">
        <v>424</v>
      </c>
      <c r="D90" s="20" t="s">
        <v>431</v>
      </c>
      <c r="E90" t="s">
        <v>432</v>
      </c>
      <c r="H90" s="4"/>
      <c r="I90" s="4"/>
      <c r="J90" s="4"/>
      <c r="K90" s="9" t="s">
        <v>433</v>
      </c>
      <c r="L90" s="5" t="s">
        <v>44</v>
      </c>
      <c r="M90" t="s">
        <v>112</v>
      </c>
      <c r="N90" s="6" t="s">
        <v>46</v>
      </c>
      <c r="O90" s="6">
        <v>1</v>
      </c>
      <c r="P90"/>
      <c r="Q90" s="6" t="s">
        <v>74</v>
      </c>
      <c r="R90" s="7"/>
      <c r="AC90" t="s">
        <v>422</v>
      </c>
    </row>
    <row r="91" spans="1:39" x14ac:dyDescent="0.2">
      <c r="A91" t="s">
        <v>434</v>
      </c>
      <c r="B91" t="s">
        <v>403</v>
      </c>
      <c r="C91" s="20" t="s">
        <v>424</v>
      </c>
      <c r="D91" s="20" t="s">
        <v>364</v>
      </c>
      <c r="E91" t="s">
        <v>188</v>
      </c>
      <c r="I91" s="3"/>
      <c r="J91" s="3"/>
      <c r="L91" s="5" t="s">
        <v>44</v>
      </c>
      <c r="M91" t="s">
        <v>207</v>
      </c>
      <c r="N91" s="6" t="s">
        <v>46</v>
      </c>
      <c r="O91" s="6" t="s">
        <v>208</v>
      </c>
      <c r="P91"/>
      <c r="R91" s="3"/>
    </row>
    <row r="92" spans="1:39" x14ac:dyDescent="0.2">
      <c r="A92" t="s">
        <v>435</v>
      </c>
      <c r="B92" t="s">
        <v>403</v>
      </c>
      <c r="C92" s="20" t="s">
        <v>436</v>
      </c>
      <c r="D92" s="20" t="s">
        <v>437</v>
      </c>
      <c r="E92" t="s">
        <v>438</v>
      </c>
      <c r="H92" s="4"/>
      <c r="I92" s="9" t="s">
        <v>439</v>
      </c>
      <c r="J92" s="9" t="s">
        <v>440</v>
      </c>
      <c r="K92" s="9" t="s">
        <v>441</v>
      </c>
      <c r="L92" s="6" t="s">
        <v>81</v>
      </c>
      <c r="M92" t="s">
        <v>207</v>
      </c>
      <c r="N92" s="6" t="s">
        <v>46</v>
      </c>
      <c r="O92" s="6">
        <v>1</v>
      </c>
      <c r="P92"/>
      <c r="Q92" s="6" t="s">
        <v>74</v>
      </c>
      <c r="R92" s="7" t="s">
        <v>442</v>
      </c>
      <c r="S92" s="8">
        <v>28.763697319999999</v>
      </c>
      <c r="T92" t="s">
        <v>88</v>
      </c>
      <c r="U92" s="18">
        <v>31.3526501496743</v>
      </c>
      <c r="V92" s="18">
        <v>32.417905815766503</v>
      </c>
      <c r="W92">
        <v>5</v>
      </c>
      <c r="X92" s="8">
        <v>0.3</v>
      </c>
      <c r="Y92" t="s">
        <v>443</v>
      </c>
      <c r="Z92" s="17">
        <v>0.26500000000000001</v>
      </c>
      <c r="AA92">
        <v>20</v>
      </c>
      <c r="AF92" s="8">
        <v>3.02</v>
      </c>
      <c r="AG92" s="8">
        <v>0.43</v>
      </c>
    </row>
    <row r="93" spans="1:39" x14ac:dyDescent="0.2">
      <c r="A93" t="s">
        <v>444</v>
      </c>
      <c r="B93" t="s">
        <v>403</v>
      </c>
      <c r="C93" s="20" t="s">
        <v>445</v>
      </c>
      <c r="D93" s="20" t="s">
        <v>446</v>
      </c>
      <c r="E93" t="s">
        <v>447</v>
      </c>
      <c r="H93" s="4"/>
      <c r="I93" s="9"/>
      <c r="J93" s="9"/>
      <c r="K93" s="9" t="s">
        <v>73</v>
      </c>
      <c r="L93" s="5" t="s">
        <v>44</v>
      </c>
      <c r="M93" t="s">
        <v>207</v>
      </c>
      <c r="N93" s="6" t="s">
        <v>46</v>
      </c>
      <c r="O93" s="6" t="s">
        <v>208</v>
      </c>
      <c r="P93"/>
      <c r="Q93" s="6" t="s">
        <v>74</v>
      </c>
      <c r="R93" s="7"/>
      <c r="S93" s="8"/>
      <c r="U93" s="18"/>
      <c r="V93" s="18"/>
      <c r="X93" s="8"/>
      <c r="Z93" s="17"/>
      <c r="AF93" s="8"/>
      <c r="AG93" s="8"/>
    </row>
    <row r="94" spans="1:39" x14ac:dyDescent="0.2">
      <c r="A94" t="s">
        <v>448</v>
      </c>
      <c r="B94" t="s">
        <v>403</v>
      </c>
      <c r="C94" s="20" t="s">
        <v>449</v>
      </c>
      <c r="D94" s="20" t="s">
        <v>450</v>
      </c>
      <c r="E94" t="s">
        <v>451</v>
      </c>
      <c r="H94" s="4"/>
      <c r="I94" s="9" t="s">
        <v>452</v>
      </c>
      <c r="J94" s="4"/>
      <c r="K94" s="4"/>
      <c r="L94" s="6" t="s">
        <v>81</v>
      </c>
      <c r="M94" t="s">
        <v>207</v>
      </c>
      <c r="N94" s="6" t="s">
        <v>46</v>
      </c>
      <c r="O94" s="6" t="s">
        <v>208</v>
      </c>
      <c r="P94"/>
      <c r="R94" s="7"/>
    </row>
    <row r="95" spans="1:39" x14ac:dyDescent="0.2">
      <c r="A95" t="s">
        <v>453</v>
      </c>
      <c r="B95" t="s">
        <v>403</v>
      </c>
      <c r="C95" s="20" t="s">
        <v>449</v>
      </c>
      <c r="D95" s="20" t="s">
        <v>454</v>
      </c>
      <c r="E95" t="s">
        <v>455</v>
      </c>
      <c r="H95" s="4"/>
      <c r="I95" s="4"/>
      <c r="J95" s="4"/>
      <c r="K95" s="4"/>
      <c r="L95" s="6" t="s">
        <v>81</v>
      </c>
      <c r="M95" t="s">
        <v>207</v>
      </c>
      <c r="N95" s="6" t="s">
        <v>46</v>
      </c>
      <c r="O95" s="6" t="s">
        <v>208</v>
      </c>
      <c r="P95"/>
      <c r="R95" s="7"/>
      <c r="X95" s="8">
        <v>0.74654558999999998</v>
      </c>
      <c r="Y95" t="s">
        <v>88</v>
      </c>
    </row>
    <row r="96" spans="1:39" x14ac:dyDescent="0.2">
      <c r="A96" t="s">
        <v>456</v>
      </c>
      <c r="B96" t="s">
        <v>403</v>
      </c>
      <c r="C96" s="20" t="s">
        <v>457</v>
      </c>
      <c r="D96" s="20" t="s">
        <v>458</v>
      </c>
      <c r="E96" t="s">
        <v>459</v>
      </c>
      <c r="H96" s="4"/>
      <c r="I96" s="4"/>
      <c r="J96" s="4"/>
      <c r="K96" s="9" t="s">
        <v>460</v>
      </c>
      <c r="L96" s="6" t="s">
        <v>81</v>
      </c>
      <c r="M96" t="s">
        <v>64</v>
      </c>
      <c r="N96" s="6" t="s">
        <v>46</v>
      </c>
      <c r="O96" s="6">
        <v>1</v>
      </c>
      <c r="P96"/>
      <c r="Q96" s="6" t="s">
        <v>74</v>
      </c>
      <c r="R96" s="7"/>
      <c r="Z96" s="17">
        <v>2.64</v>
      </c>
      <c r="AA96" s="18">
        <v>10</v>
      </c>
      <c r="AF96" s="17">
        <v>2.29</v>
      </c>
      <c r="AG96" s="17">
        <v>2.02</v>
      </c>
    </row>
    <row r="97" spans="1:38" x14ac:dyDescent="0.2">
      <c r="A97" t="s">
        <v>461</v>
      </c>
      <c r="B97" t="s">
        <v>403</v>
      </c>
      <c r="C97" s="20" t="s">
        <v>457</v>
      </c>
      <c r="D97" s="20" t="s">
        <v>462</v>
      </c>
      <c r="E97" t="s">
        <v>85</v>
      </c>
      <c r="H97" s="4"/>
      <c r="I97" s="4"/>
      <c r="J97" s="4"/>
      <c r="K97" s="4"/>
      <c r="L97" s="6" t="s">
        <v>81</v>
      </c>
      <c r="M97" t="s">
        <v>64</v>
      </c>
      <c r="N97" s="6" t="s">
        <v>46</v>
      </c>
      <c r="O97" s="6">
        <v>1</v>
      </c>
      <c r="P97"/>
      <c r="R97" s="7"/>
    </row>
    <row r="98" spans="1:38" x14ac:dyDescent="0.2">
      <c r="A98" t="s">
        <v>463</v>
      </c>
      <c r="B98" t="s">
        <v>403</v>
      </c>
      <c r="C98" s="20" t="s">
        <v>464</v>
      </c>
      <c r="D98" s="20" t="s">
        <v>465</v>
      </c>
      <c r="E98" t="s">
        <v>466</v>
      </c>
      <c r="H98" s="4"/>
      <c r="I98" s="4"/>
      <c r="J98" s="9" t="s">
        <v>467</v>
      </c>
      <c r="K98" s="4"/>
      <c r="L98" s="5" t="s">
        <v>44</v>
      </c>
      <c r="M98" t="s">
        <v>207</v>
      </c>
      <c r="N98" s="6" t="s">
        <v>46</v>
      </c>
      <c r="O98" s="6" t="s">
        <v>208</v>
      </c>
      <c r="P98"/>
      <c r="R98" s="7"/>
      <c r="S98" s="8">
        <v>28.35287362</v>
      </c>
      <c r="T98" t="s">
        <v>88</v>
      </c>
      <c r="X98">
        <v>0.13719999999999999</v>
      </c>
      <c r="Y98" t="s">
        <v>468</v>
      </c>
    </row>
    <row r="99" spans="1:38" ht="15.75" customHeight="1" x14ac:dyDescent="0.2">
      <c r="A99" t="s">
        <v>469</v>
      </c>
      <c r="B99" t="s">
        <v>403</v>
      </c>
      <c r="C99" s="20" t="s">
        <v>464</v>
      </c>
      <c r="D99" s="20" t="s">
        <v>470</v>
      </c>
      <c r="E99" t="s">
        <v>466</v>
      </c>
      <c r="H99" s="4"/>
      <c r="I99" s="4"/>
      <c r="J99" s="4"/>
      <c r="K99" s="4"/>
      <c r="L99" s="5" t="s">
        <v>44</v>
      </c>
      <c r="M99" t="s">
        <v>207</v>
      </c>
      <c r="N99" s="6" t="s">
        <v>46</v>
      </c>
      <c r="O99" s="6" t="s">
        <v>208</v>
      </c>
      <c r="P99"/>
      <c r="R99" s="7"/>
      <c r="S99">
        <f>(23+22.4)/2</f>
        <v>22.7</v>
      </c>
      <c r="T99" t="s">
        <v>471</v>
      </c>
      <c r="X99" s="8">
        <v>0.04</v>
      </c>
      <c r="Y99" t="s">
        <v>315</v>
      </c>
    </row>
    <row r="100" spans="1:38" x14ac:dyDescent="0.2">
      <c r="A100" t="s">
        <v>472</v>
      </c>
      <c r="B100" t="s">
        <v>403</v>
      </c>
      <c r="C100" s="20" t="s">
        <v>464</v>
      </c>
      <c r="D100" s="20" t="s">
        <v>450</v>
      </c>
      <c r="E100" t="s">
        <v>473</v>
      </c>
      <c r="H100" s="4"/>
      <c r="I100" s="9" t="s">
        <v>474</v>
      </c>
      <c r="J100" s="4"/>
      <c r="K100" s="4"/>
      <c r="L100" s="5" t="s">
        <v>44</v>
      </c>
      <c r="M100" t="s">
        <v>207</v>
      </c>
      <c r="N100" s="6" t="s">
        <v>46</v>
      </c>
      <c r="O100" s="6" t="s">
        <v>208</v>
      </c>
      <c r="P100"/>
      <c r="R100" s="7"/>
    </row>
    <row r="101" spans="1:38" x14ac:dyDescent="0.2">
      <c r="A101" t="s">
        <v>475</v>
      </c>
      <c r="B101" t="s">
        <v>403</v>
      </c>
      <c r="C101" s="20" t="s">
        <v>476</v>
      </c>
      <c r="D101" s="20" t="s">
        <v>477</v>
      </c>
      <c r="E101" t="s">
        <v>478</v>
      </c>
      <c r="H101" s="4"/>
      <c r="I101" s="9"/>
      <c r="J101" s="4"/>
      <c r="K101" s="4"/>
      <c r="L101" s="5" t="s">
        <v>479</v>
      </c>
      <c r="M101" t="s">
        <v>207</v>
      </c>
      <c r="N101" s="6" t="s">
        <v>46</v>
      </c>
      <c r="O101" s="6" t="s">
        <v>208</v>
      </c>
      <c r="P101"/>
      <c r="Q101" s="6" t="s">
        <v>74</v>
      </c>
      <c r="R101" s="7"/>
    </row>
    <row r="102" spans="1:38" x14ac:dyDescent="0.2">
      <c r="A102" t="s">
        <v>480</v>
      </c>
      <c r="B102" t="s">
        <v>403</v>
      </c>
      <c r="C102" s="20" t="s">
        <v>481</v>
      </c>
      <c r="D102" s="20" t="s">
        <v>482</v>
      </c>
      <c r="E102" t="s">
        <v>483</v>
      </c>
      <c r="L102" s="5" t="s">
        <v>44</v>
      </c>
      <c r="M102" t="s">
        <v>54</v>
      </c>
      <c r="N102" s="6" t="s">
        <v>46</v>
      </c>
      <c r="O102" s="6">
        <v>1</v>
      </c>
      <c r="P102"/>
      <c r="Q102" s="6" t="s">
        <v>74</v>
      </c>
      <c r="Z102" s="17">
        <v>0.64</v>
      </c>
      <c r="AA102">
        <v>5</v>
      </c>
      <c r="AF102" s="8">
        <v>1.94</v>
      </c>
      <c r="AG102" s="8">
        <v>1.34</v>
      </c>
    </row>
    <row r="103" spans="1:38" x14ac:dyDescent="0.2">
      <c r="A103" t="s">
        <v>484</v>
      </c>
      <c r="B103" t="s">
        <v>403</v>
      </c>
      <c r="C103" s="20" t="s">
        <v>485</v>
      </c>
      <c r="D103" s="20" t="s">
        <v>486</v>
      </c>
      <c r="E103" t="s">
        <v>487</v>
      </c>
      <c r="H103" s="27" t="s">
        <v>488</v>
      </c>
      <c r="I103" s="4"/>
      <c r="J103" s="9" t="s">
        <v>489</v>
      </c>
      <c r="K103" s="4"/>
      <c r="L103" s="5" t="s">
        <v>81</v>
      </c>
      <c r="M103" t="s">
        <v>207</v>
      </c>
      <c r="N103" s="6" t="s">
        <v>46</v>
      </c>
      <c r="O103" s="6">
        <v>1</v>
      </c>
      <c r="P103"/>
      <c r="R103" s="7"/>
      <c r="X103" s="8">
        <v>0.73144952942158104</v>
      </c>
      <c r="Y103" t="s">
        <v>88</v>
      </c>
    </row>
    <row r="104" spans="1:38" x14ac:dyDescent="0.2">
      <c r="A104" t="s">
        <v>490</v>
      </c>
      <c r="B104" t="s">
        <v>403</v>
      </c>
      <c r="C104" s="20" t="s">
        <v>491</v>
      </c>
      <c r="D104" s="20" t="s">
        <v>492</v>
      </c>
      <c r="E104" t="s">
        <v>493</v>
      </c>
      <c r="H104" s="27" t="s">
        <v>494</v>
      </c>
      <c r="I104" s="4"/>
      <c r="J104" s="4"/>
      <c r="K104" s="9" t="s">
        <v>495</v>
      </c>
      <c r="L104" s="5" t="s">
        <v>44</v>
      </c>
      <c r="M104" t="s">
        <v>207</v>
      </c>
      <c r="N104" s="6" t="s">
        <v>46</v>
      </c>
      <c r="O104" s="6">
        <v>1</v>
      </c>
      <c r="P104"/>
      <c r="R104" s="7"/>
      <c r="S104" s="8">
        <v>31.160672099999999</v>
      </c>
      <c r="T104" t="s">
        <v>88</v>
      </c>
      <c r="X104" s="8">
        <v>0.80267759999999999</v>
      </c>
      <c r="Y104" t="s">
        <v>88</v>
      </c>
      <c r="AD104" s="17">
        <v>0.7</v>
      </c>
      <c r="AE104" s="18">
        <v>10</v>
      </c>
      <c r="AF104" s="17">
        <v>2.77</v>
      </c>
      <c r="AG104" s="17">
        <v>0.7</v>
      </c>
    </row>
    <row r="105" spans="1:38" x14ac:dyDescent="0.2">
      <c r="A105" t="s">
        <v>496</v>
      </c>
      <c r="B105" t="s">
        <v>403</v>
      </c>
      <c r="C105" s="20" t="s">
        <v>497</v>
      </c>
      <c r="D105" s="20" t="s">
        <v>498</v>
      </c>
      <c r="E105" t="s">
        <v>499</v>
      </c>
      <c r="H105" s="4"/>
      <c r="I105" s="9" t="s">
        <v>500</v>
      </c>
      <c r="J105" s="4"/>
      <c r="K105" s="4"/>
      <c r="L105" s="5" t="s">
        <v>44</v>
      </c>
      <c r="M105" t="s">
        <v>207</v>
      </c>
      <c r="N105" s="6" t="s">
        <v>46</v>
      </c>
      <c r="O105" s="6">
        <v>1</v>
      </c>
      <c r="P105"/>
      <c r="R105" s="7"/>
      <c r="S105" s="8">
        <v>53.473917450000002</v>
      </c>
      <c r="T105" t="s">
        <v>88</v>
      </c>
      <c r="X105" s="8">
        <v>0.78710398000000004</v>
      </c>
      <c r="Y105" t="s">
        <v>88</v>
      </c>
    </row>
    <row r="106" spans="1:38" x14ac:dyDescent="0.2">
      <c r="A106" t="s">
        <v>501</v>
      </c>
      <c r="B106" t="s">
        <v>403</v>
      </c>
      <c r="C106" s="20" t="s">
        <v>502</v>
      </c>
      <c r="D106" s="20" t="s">
        <v>503</v>
      </c>
      <c r="E106" t="s">
        <v>504</v>
      </c>
      <c r="H106" s="4"/>
      <c r="I106" s="4"/>
      <c r="J106" s="4"/>
      <c r="K106" s="9" t="s">
        <v>505</v>
      </c>
      <c r="L106" s="5" t="s">
        <v>44</v>
      </c>
      <c r="M106" t="s">
        <v>207</v>
      </c>
      <c r="N106" s="6" t="s">
        <v>46</v>
      </c>
      <c r="O106" s="6">
        <v>1</v>
      </c>
      <c r="P106"/>
      <c r="R106" s="7"/>
    </row>
    <row r="107" spans="1:38" x14ac:dyDescent="0.2">
      <c r="A107" t="s">
        <v>506</v>
      </c>
      <c r="B107" t="s">
        <v>403</v>
      </c>
      <c r="C107" s="20" t="s">
        <v>502</v>
      </c>
      <c r="D107" s="20" t="s">
        <v>507</v>
      </c>
      <c r="E107" t="s">
        <v>508</v>
      </c>
      <c r="H107" s="4"/>
      <c r="I107" s="9" t="s">
        <v>509</v>
      </c>
      <c r="J107" s="9" t="s">
        <v>510</v>
      </c>
      <c r="K107" s="4"/>
      <c r="L107" s="5" t="s">
        <v>44</v>
      </c>
      <c r="M107" t="s">
        <v>207</v>
      </c>
      <c r="N107" s="6" t="s">
        <v>46</v>
      </c>
      <c r="O107" s="6">
        <v>1</v>
      </c>
      <c r="P107"/>
      <c r="R107" s="7"/>
      <c r="S107" s="8">
        <v>39.779581399999998</v>
      </c>
      <c r="T107" t="s">
        <v>88</v>
      </c>
      <c r="X107" s="8">
        <v>0.76485382000000002</v>
      </c>
      <c r="Y107" t="s">
        <v>88</v>
      </c>
      <c r="AL107" s="3"/>
    </row>
    <row r="108" spans="1:38" x14ac:dyDescent="0.2">
      <c r="A108" t="s">
        <v>511</v>
      </c>
      <c r="B108" t="s">
        <v>403</v>
      </c>
      <c r="C108" s="20" t="s">
        <v>512</v>
      </c>
      <c r="D108" s="20" t="s">
        <v>187</v>
      </c>
      <c r="E108" t="s">
        <v>188</v>
      </c>
      <c r="H108" s="28"/>
      <c r="I108" s="4"/>
      <c r="J108" s="4"/>
      <c r="K108" s="4"/>
      <c r="L108" s="29" t="s">
        <v>44</v>
      </c>
      <c r="M108" t="s">
        <v>207</v>
      </c>
      <c r="N108" s="6" t="s">
        <v>46</v>
      </c>
      <c r="O108" s="6">
        <v>1</v>
      </c>
      <c r="R108" s="7"/>
      <c r="S108" s="8"/>
      <c r="T108" s="3"/>
      <c r="U108" s="3"/>
      <c r="V108" s="3"/>
      <c r="W108" s="3"/>
      <c r="X108" s="8"/>
      <c r="Y108" s="3"/>
      <c r="Z108" s="8"/>
      <c r="AA108" s="3"/>
      <c r="AB108" s="3"/>
      <c r="AC108" s="3"/>
      <c r="AD108" s="8"/>
      <c r="AE108" s="3"/>
      <c r="AF108" s="8"/>
      <c r="AG108" s="8"/>
      <c r="AH108" s="8"/>
      <c r="AI108" s="3"/>
      <c r="AJ108" s="8"/>
      <c r="AK108" s="3"/>
    </row>
    <row r="109" spans="1:38" ht="16.5" customHeight="1" x14ac:dyDescent="0.2">
      <c r="A109" t="s">
        <v>513</v>
      </c>
      <c r="B109" t="s">
        <v>403</v>
      </c>
      <c r="C109" s="20" t="s">
        <v>514</v>
      </c>
      <c r="D109" s="20" t="s">
        <v>515</v>
      </c>
      <c r="E109" t="s">
        <v>516</v>
      </c>
      <c r="H109" s="4"/>
      <c r="I109" s="4"/>
      <c r="J109" s="4"/>
      <c r="K109" s="9" t="s">
        <v>517</v>
      </c>
      <c r="L109" s="5" t="s">
        <v>44</v>
      </c>
      <c r="M109" t="s">
        <v>207</v>
      </c>
      <c r="N109" s="6" t="s">
        <v>46</v>
      </c>
      <c r="O109" s="6">
        <v>1</v>
      </c>
      <c r="R109" s="7">
        <v>511</v>
      </c>
      <c r="S109" s="8">
        <v>50.062587870000002</v>
      </c>
      <c r="T109" t="s">
        <v>375</v>
      </c>
      <c r="U109" s="3"/>
      <c r="V109" s="3"/>
      <c r="W109" s="3"/>
      <c r="X109" s="8">
        <v>0.73725618999999998</v>
      </c>
      <c r="Y109" s="3" t="s">
        <v>88</v>
      </c>
      <c r="Z109" s="8"/>
      <c r="AA109" s="3"/>
      <c r="AB109" s="3"/>
      <c r="AC109" s="3"/>
      <c r="AD109" s="8"/>
      <c r="AE109" s="3"/>
      <c r="AF109" s="8"/>
      <c r="AG109" s="8"/>
      <c r="AH109" s="8"/>
      <c r="AI109" s="3"/>
      <c r="AJ109" s="8"/>
      <c r="AK109" s="3"/>
    </row>
    <row r="110" spans="1:38" x14ac:dyDescent="0.2">
      <c r="A110" t="s">
        <v>518</v>
      </c>
      <c r="B110" t="s">
        <v>403</v>
      </c>
      <c r="C110" s="20" t="s">
        <v>519</v>
      </c>
      <c r="D110" s="20" t="s">
        <v>520</v>
      </c>
      <c r="E110" t="s">
        <v>521</v>
      </c>
      <c r="H110" s="4"/>
      <c r="I110" s="4"/>
      <c r="J110" s="9" t="s">
        <v>522</v>
      </c>
      <c r="K110" s="4"/>
      <c r="L110" s="5" t="s">
        <v>63</v>
      </c>
      <c r="M110" t="s">
        <v>207</v>
      </c>
      <c r="N110" s="6" t="s">
        <v>46</v>
      </c>
      <c r="O110" s="6">
        <v>1</v>
      </c>
      <c r="P110"/>
      <c r="Q110" s="6" t="s">
        <v>74</v>
      </c>
      <c r="R110" s="7"/>
      <c r="S110" s="8">
        <v>27.618396919999999</v>
      </c>
      <c r="T110" t="s">
        <v>88</v>
      </c>
      <c r="U110" s="18">
        <v>41.720850151747499</v>
      </c>
      <c r="V110" s="18">
        <v>25.149142660507099</v>
      </c>
      <c r="W110">
        <v>10</v>
      </c>
      <c r="X110" s="8">
        <v>0.71269561999999997</v>
      </c>
      <c r="Y110" t="s">
        <v>88</v>
      </c>
      <c r="Z110">
        <v>0.26</v>
      </c>
      <c r="AA110">
        <v>40</v>
      </c>
      <c r="AD110" s="17">
        <v>0.5575</v>
      </c>
      <c r="AE110" s="18">
        <v>40</v>
      </c>
      <c r="AF110" s="17">
        <v>6.53</v>
      </c>
      <c r="AG110" s="17">
        <v>0.21</v>
      </c>
      <c r="AL110" s="3"/>
    </row>
    <row r="111" spans="1:38" x14ac:dyDescent="0.2">
      <c r="A111" t="s">
        <v>523</v>
      </c>
      <c r="B111" t="s">
        <v>403</v>
      </c>
      <c r="C111" s="20" t="s">
        <v>524</v>
      </c>
      <c r="D111" s="20" t="s">
        <v>525</v>
      </c>
      <c r="E111" t="s">
        <v>526</v>
      </c>
      <c r="H111" s="4"/>
      <c r="I111" s="4"/>
      <c r="J111" s="4"/>
      <c r="K111" s="4"/>
      <c r="L111" s="5" t="s">
        <v>44</v>
      </c>
      <c r="M111" t="s">
        <v>207</v>
      </c>
      <c r="N111" s="6" t="s">
        <v>46</v>
      </c>
      <c r="O111" s="6">
        <v>1</v>
      </c>
      <c r="P111"/>
      <c r="R111" s="7"/>
      <c r="S111" s="8">
        <v>51.934453499999996</v>
      </c>
      <c r="T111" t="s">
        <v>88</v>
      </c>
    </row>
    <row r="112" spans="1:38" ht="16" x14ac:dyDescent="0.2">
      <c r="A112" t="s">
        <v>527</v>
      </c>
      <c r="B112" t="s">
        <v>403</v>
      </c>
      <c r="C112" s="68" t="s">
        <v>528</v>
      </c>
      <c r="D112" s="20" t="s">
        <v>529</v>
      </c>
      <c r="H112" s="4"/>
      <c r="I112" s="4"/>
      <c r="J112" s="4"/>
      <c r="K112" s="4"/>
      <c r="L112" s="5" t="s">
        <v>44</v>
      </c>
      <c r="M112" t="s">
        <v>207</v>
      </c>
      <c r="N112" s="6" t="s">
        <v>46</v>
      </c>
      <c r="O112" s="6">
        <v>1</v>
      </c>
      <c r="P112"/>
      <c r="R112" s="7"/>
      <c r="S112" s="8"/>
    </row>
    <row r="113" spans="1:39" ht="16" x14ac:dyDescent="0.2">
      <c r="A113" t="s">
        <v>530</v>
      </c>
      <c r="B113" t="s">
        <v>403</v>
      </c>
      <c r="C113" s="68" t="s">
        <v>528</v>
      </c>
      <c r="D113" s="20" t="s">
        <v>531</v>
      </c>
      <c r="E113" t="s">
        <v>532</v>
      </c>
      <c r="H113" s="4"/>
      <c r="I113" s="9" t="s">
        <v>533</v>
      </c>
      <c r="J113" s="9" t="s">
        <v>534</v>
      </c>
      <c r="K113" s="4"/>
      <c r="L113" s="6" t="s">
        <v>99</v>
      </c>
      <c r="M113" t="s">
        <v>207</v>
      </c>
      <c r="N113" s="6" t="s">
        <v>46</v>
      </c>
      <c r="O113" s="6">
        <v>1</v>
      </c>
      <c r="P113"/>
      <c r="Q113" s="6" t="s">
        <v>74</v>
      </c>
      <c r="R113" s="7">
        <v>404</v>
      </c>
      <c r="U113" s="18">
        <v>19.173365636603599</v>
      </c>
      <c r="V113" s="18">
        <v>54.523797404562899</v>
      </c>
      <c r="W113">
        <v>10</v>
      </c>
      <c r="AC113" t="s">
        <v>422</v>
      </c>
      <c r="AD113" s="17">
        <v>0.17</v>
      </c>
      <c r="AE113" s="18">
        <v>20</v>
      </c>
      <c r="AF113" s="17">
        <v>2.16</v>
      </c>
      <c r="AG113" s="17">
        <v>0.4</v>
      </c>
      <c r="AJ113" s="8">
        <v>0.52400000000000002</v>
      </c>
      <c r="AK113">
        <v>5</v>
      </c>
    </row>
    <row r="114" spans="1:39" x14ac:dyDescent="0.2">
      <c r="A114" t="s">
        <v>535</v>
      </c>
      <c r="B114" t="s">
        <v>403</v>
      </c>
      <c r="C114" s="20" t="s">
        <v>536</v>
      </c>
      <c r="D114" s="20" t="s">
        <v>537</v>
      </c>
      <c r="E114" t="s">
        <v>538</v>
      </c>
      <c r="H114" s="4"/>
      <c r="I114" s="9" t="s">
        <v>539</v>
      </c>
      <c r="J114" s="4"/>
      <c r="K114" s="9" t="s">
        <v>540</v>
      </c>
      <c r="L114" s="5" t="s">
        <v>44</v>
      </c>
      <c r="M114" t="s">
        <v>207</v>
      </c>
      <c r="N114" s="6" t="s">
        <v>46</v>
      </c>
      <c r="O114" s="6">
        <v>1</v>
      </c>
      <c r="P114"/>
      <c r="Q114" s="6" t="s">
        <v>74</v>
      </c>
      <c r="R114" s="7">
        <v>485</v>
      </c>
    </row>
    <row r="115" spans="1:39" ht="17.25" customHeight="1" x14ac:dyDescent="0.2">
      <c r="A115" t="s">
        <v>541</v>
      </c>
      <c r="B115" t="s">
        <v>403</v>
      </c>
      <c r="C115" s="20" t="s">
        <v>542</v>
      </c>
      <c r="D115" s="20" t="s">
        <v>543</v>
      </c>
      <c r="E115" t="s">
        <v>544</v>
      </c>
      <c r="H115" s="4"/>
      <c r="I115" s="4"/>
      <c r="J115" s="4"/>
      <c r="K115" s="4" t="s">
        <v>517</v>
      </c>
      <c r="L115" s="5" t="s">
        <v>44</v>
      </c>
      <c r="M115" t="s">
        <v>207</v>
      </c>
      <c r="N115" s="6" t="s">
        <v>46</v>
      </c>
      <c r="O115" s="6">
        <v>1</v>
      </c>
      <c r="P115"/>
      <c r="R115" s="7">
        <v>512</v>
      </c>
      <c r="S115" s="8">
        <v>30.318491770000001</v>
      </c>
      <c r="T115" t="s">
        <v>88</v>
      </c>
      <c r="AM115" s="3"/>
    </row>
    <row r="116" spans="1:39" s="3" customFormat="1" x14ac:dyDescent="0.2">
      <c r="A116" t="s">
        <v>545</v>
      </c>
      <c r="B116" t="s">
        <v>403</v>
      </c>
      <c r="C116" s="20" t="s">
        <v>546</v>
      </c>
      <c r="D116" s="20" t="s">
        <v>547</v>
      </c>
      <c r="E116" t="s">
        <v>548</v>
      </c>
      <c r="F116"/>
      <c r="G116"/>
      <c r="H116" s="4"/>
      <c r="I116" s="4"/>
      <c r="J116" s="9" t="s">
        <v>549</v>
      </c>
      <c r="K116" s="4"/>
      <c r="L116" s="5" t="s">
        <v>44</v>
      </c>
      <c r="M116" t="s">
        <v>207</v>
      </c>
      <c r="N116" s="6" t="s">
        <v>46</v>
      </c>
      <c r="O116" s="6">
        <v>1</v>
      </c>
      <c r="P116"/>
      <c r="Q116" s="6" t="s">
        <v>74</v>
      </c>
      <c r="R116" s="7"/>
      <c r="S116" s="8">
        <v>24.823636480000001</v>
      </c>
      <c r="T116" t="s">
        <v>88</v>
      </c>
      <c r="U116" s="18">
        <v>31.8984627315461</v>
      </c>
      <c r="V116" s="18">
        <v>32.894902742295102</v>
      </c>
      <c r="W116" s="18">
        <v>8</v>
      </c>
      <c r="X116" s="8">
        <v>0.71029206</v>
      </c>
      <c r="Y116" t="s">
        <v>88</v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 x14ac:dyDescent="0.2">
      <c r="A117" t="s">
        <v>550</v>
      </c>
      <c r="B117" t="s">
        <v>403</v>
      </c>
      <c r="C117" s="20" t="s">
        <v>551</v>
      </c>
      <c r="D117" s="20" t="s">
        <v>552</v>
      </c>
      <c r="E117" t="s">
        <v>553</v>
      </c>
      <c r="H117" s="4"/>
      <c r="I117" s="4"/>
      <c r="J117" s="4"/>
      <c r="K117" s="4"/>
      <c r="L117" s="5" t="s">
        <v>63</v>
      </c>
      <c r="M117" t="s">
        <v>207</v>
      </c>
      <c r="N117" s="6" t="s">
        <v>46</v>
      </c>
      <c r="O117" s="6">
        <v>1</v>
      </c>
      <c r="P117"/>
      <c r="R117" s="7"/>
    </row>
    <row r="118" spans="1:39" x14ac:dyDescent="0.2">
      <c r="A118" t="s">
        <v>554</v>
      </c>
      <c r="B118" t="s">
        <v>403</v>
      </c>
      <c r="C118" s="20" t="s">
        <v>551</v>
      </c>
      <c r="D118" s="20" t="s">
        <v>555</v>
      </c>
      <c r="E118" t="s">
        <v>556</v>
      </c>
      <c r="H118" s="4"/>
      <c r="I118" s="4"/>
      <c r="J118" s="9" t="s">
        <v>557</v>
      </c>
      <c r="K118" s="4"/>
      <c r="L118" s="5" t="s">
        <v>63</v>
      </c>
      <c r="M118" t="s">
        <v>207</v>
      </c>
      <c r="N118" s="6" t="s">
        <v>46</v>
      </c>
      <c r="O118" s="6">
        <v>1</v>
      </c>
      <c r="P118"/>
      <c r="R118" s="7"/>
      <c r="S118" s="8">
        <v>39.893239999999999</v>
      </c>
      <c r="T118" t="s">
        <v>88</v>
      </c>
      <c r="X118" s="8">
        <v>0.90252021999999998</v>
      </c>
      <c r="Y118" t="s">
        <v>88</v>
      </c>
    </row>
    <row r="119" spans="1:39" x14ac:dyDescent="0.2">
      <c r="A119" t="s">
        <v>558</v>
      </c>
      <c r="B119" t="s">
        <v>403</v>
      </c>
      <c r="C119" s="20" t="s">
        <v>551</v>
      </c>
      <c r="D119" s="20" t="s">
        <v>559</v>
      </c>
      <c r="E119" t="s">
        <v>487</v>
      </c>
      <c r="H119" s="4"/>
      <c r="I119" s="4"/>
      <c r="J119" s="4"/>
      <c r="K119" s="9" t="s">
        <v>560</v>
      </c>
      <c r="L119" s="5" t="s">
        <v>63</v>
      </c>
      <c r="M119" t="s">
        <v>207</v>
      </c>
      <c r="N119" s="6" t="s">
        <v>46</v>
      </c>
      <c r="O119" s="6">
        <v>1</v>
      </c>
      <c r="P119"/>
      <c r="R119" s="7"/>
      <c r="S119">
        <v>13.162523</v>
      </c>
      <c r="T119" t="s">
        <v>66</v>
      </c>
      <c r="AH119" s="8">
        <v>0.14621276599999999</v>
      </c>
      <c r="AI119" t="s">
        <v>66</v>
      </c>
    </row>
    <row r="120" spans="1:39" ht="17.25" customHeight="1" x14ac:dyDescent="0.2">
      <c r="A120" t="s">
        <v>561</v>
      </c>
      <c r="B120" t="s">
        <v>403</v>
      </c>
      <c r="C120" s="20" t="s">
        <v>551</v>
      </c>
      <c r="D120" s="20" t="s">
        <v>562</v>
      </c>
      <c r="E120" t="s">
        <v>134</v>
      </c>
      <c r="H120" s="4"/>
      <c r="I120" s="9" t="s">
        <v>563</v>
      </c>
      <c r="J120" s="4"/>
      <c r="K120" s="4"/>
      <c r="L120" s="5" t="s">
        <v>63</v>
      </c>
      <c r="M120" t="s">
        <v>207</v>
      </c>
      <c r="N120" s="6" t="s">
        <v>46</v>
      </c>
      <c r="O120" s="6">
        <v>1</v>
      </c>
      <c r="P120"/>
      <c r="R120" s="7"/>
      <c r="S120">
        <v>46.667000000000002</v>
      </c>
      <c r="T120" t="s">
        <v>564</v>
      </c>
      <c r="X120" s="8">
        <v>0.76461822999999995</v>
      </c>
      <c r="Y120" t="s">
        <v>88</v>
      </c>
    </row>
    <row r="121" spans="1:39" x14ac:dyDescent="0.2">
      <c r="A121" t="s">
        <v>565</v>
      </c>
      <c r="B121" t="s">
        <v>403</v>
      </c>
      <c r="C121" s="20" t="s">
        <v>566</v>
      </c>
      <c r="D121" s="20" t="s">
        <v>567</v>
      </c>
      <c r="E121" t="s">
        <v>568</v>
      </c>
      <c r="H121" s="4"/>
      <c r="I121" s="4"/>
      <c r="J121" s="4"/>
      <c r="K121" s="9" t="s">
        <v>569</v>
      </c>
      <c r="L121" s="5" t="s">
        <v>279</v>
      </c>
      <c r="M121" t="s">
        <v>64</v>
      </c>
      <c r="N121" s="6" t="s">
        <v>65</v>
      </c>
      <c r="O121" s="6">
        <v>1</v>
      </c>
      <c r="P121"/>
      <c r="R121" s="7"/>
    </row>
    <row r="122" spans="1:39" x14ac:dyDescent="0.2">
      <c r="A122" t="s">
        <v>570</v>
      </c>
      <c r="B122" t="s">
        <v>403</v>
      </c>
      <c r="C122" s="20" t="s">
        <v>571</v>
      </c>
      <c r="D122" s="20" t="s">
        <v>572</v>
      </c>
      <c r="E122" t="s">
        <v>573</v>
      </c>
      <c r="H122" s="4"/>
      <c r="I122" s="4"/>
      <c r="J122" s="4"/>
      <c r="K122" s="9" t="s">
        <v>303</v>
      </c>
      <c r="L122" s="5" t="s">
        <v>81</v>
      </c>
      <c r="M122" t="s">
        <v>207</v>
      </c>
      <c r="N122" s="6" t="s">
        <v>46</v>
      </c>
      <c r="O122" s="6">
        <v>1</v>
      </c>
      <c r="P122"/>
      <c r="R122" s="7"/>
      <c r="S122" s="8">
        <v>35.711225149999997</v>
      </c>
      <c r="T122" t="s">
        <v>88</v>
      </c>
      <c r="X122" s="8">
        <v>0.73926391999999996</v>
      </c>
      <c r="Y122" t="s">
        <v>88</v>
      </c>
    </row>
    <row r="123" spans="1:39" x14ac:dyDescent="0.2">
      <c r="A123" t="s">
        <v>574</v>
      </c>
      <c r="B123" t="s">
        <v>403</v>
      </c>
      <c r="C123" s="20" t="s">
        <v>575</v>
      </c>
      <c r="D123" s="20" t="s">
        <v>576</v>
      </c>
      <c r="E123" t="s">
        <v>487</v>
      </c>
      <c r="H123" s="4"/>
      <c r="I123" s="4"/>
      <c r="J123" s="4"/>
      <c r="K123" s="9" t="s">
        <v>577</v>
      </c>
      <c r="L123" s="5" t="s">
        <v>81</v>
      </c>
      <c r="M123" t="s">
        <v>207</v>
      </c>
      <c r="N123" s="6" t="s">
        <v>46</v>
      </c>
      <c r="O123" s="6">
        <v>1</v>
      </c>
      <c r="P123"/>
      <c r="R123" s="7"/>
    </row>
    <row r="124" spans="1:39" x14ac:dyDescent="0.2">
      <c r="A124" t="s">
        <v>578</v>
      </c>
      <c r="B124" t="s">
        <v>403</v>
      </c>
      <c r="C124" s="20" t="s">
        <v>579</v>
      </c>
      <c r="D124" s="20" t="s">
        <v>580</v>
      </c>
      <c r="E124" t="s">
        <v>581</v>
      </c>
      <c r="H124" s="4"/>
      <c r="I124" s="4"/>
      <c r="J124" s="4"/>
      <c r="K124" s="4"/>
      <c r="L124" s="5" t="s">
        <v>44</v>
      </c>
      <c r="M124" t="s">
        <v>112</v>
      </c>
      <c r="N124" s="6" t="s">
        <v>46</v>
      </c>
      <c r="O124" s="6">
        <v>1</v>
      </c>
      <c r="P124"/>
      <c r="R124" s="7"/>
    </row>
    <row r="125" spans="1:39" x14ac:dyDescent="0.2">
      <c r="A125" t="s">
        <v>582</v>
      </c>
      <c r="B125" t="s">
        <v>403</v>
      </c>
      <c r="C125" s="20" t="s">
        <v>583</v>
      </c>
      <c r="D125" s="20" t="s">
        <v>584</v>
      </c>
      <c r="E125" t="s">
        <v>85</v>
      </c>
      <c r="H125" s="4"/>
      <c r="I125" s="9" t="s">
        <v>585</v>
      </c>
      <c r="J125" s="9" t="s">
        <v>586</v>
      </c>
      <c r="K125" s="9" t="s">
        <v>587</v>
      </c>
      <c r="L125" s="5" t="s">
        <v>44</v>
      </c>
      <c r="M125" t="s">
        <v>207</v>
      </c>
      <c r="N125" s="6" t="s">
        <v>46</v>
      </c>
      <c r="O125" s="6">
        <v>1</v>
      </c>
      <c r="P125"/>
      <c r="R125" s="7"/>
      <c r="AL125" s="3"/>
    </row>
    <row r="126" spans="1:39" x14ac:dyDescent="0.2">
      <c r="A126" t="s">
        <v>588</v>
      </c>
      <c r="B126" t="s">
        <v>403</v>
      </c>
      <c r="C126" s="20" t="s">
        <v>589</v>
      </c>
      <c r="D126" s="20" t="s">
        <v>590</v>
      </c>
      <c r="E126" t="s">
        <v>591</v>
      </c>
      <c r="H126" s="4"/>
      <c r="I126" s="4"/>
      <c r="J126" s="4"/>
      <c r="K126" s="4"/>
      <c r="L126" s="6" t="s">
        <v>99</v>
      </c>
      <c r="M126" t="s">
        <v>207</v>
      </c>
      <c r="N126" s="6" t="s">
        <v>46</v>
      </c>
      <c r="O126" s="6">
        <v>1</v>
      </c>
      <c r="P126"/>
      <c r="Q126" s="6" t="s">
        <v>74</v>
      </c>
      <c r="R126" s="7"/>
      <c r="S126" s="8">
        <v>13.867523</v>
      </c>
      <c r="T126" t="s">
        <v>95</v>
      </c>
      <c r="AD126" s="17"/>
      <c r="AE126" s="18"/>
      <c r="AF126" s="17"/>
      <c r="AG126" s="17"/>
    </row>
    <row r="127" spans="1:39" x14ac:dyDescent="0.2">
      <c r="A127" t="s">
        <v>592</v>
      </c>
      <c r="B127" t="s">
        <v>403</v>
      </c>
      <c r="C127" s="20" t="s">
        <v>589</v>
      </c>
      <c r="D127" s="20" t="s">
        <v>593</v>
      </c>
      <c r="E127" t="s">
        <v>134</v>
      </c>
      <c r="H127" s="4"/>
      <c r="I127" s="9" t="s">
        <v>594</v>
      </c>
      <c r="J127" s="4"/>
      <c r="K127" s="4"/>
      <c r="L127" s="5" t="s">
        <v>81</v>
      </c>
      <c r="M127" t="s">
        <v>207</v>
      </c>
      <c r="N127" s="6" t="s">
        <v>46</v>
      </c>
      <c r="O127" s="6">
        <v>1</v>
      </c>
      <c r="P127" s="6">
        <v>202</v>
      </c>
      <c r="Q127" s="6" t="s">
        <v>74</v>
      </c>
      <c r="R127" s="7"/>
      <c r="S127" s="8">
        <v>17.827756000000001</v>
      </c>
      <c r="T127" t="s">
        <v>95</v>
      </c>
      <c r="U127" s="18">
        <v>24.9329785787471</v>
      </c>
      <c r="V127" s="18">
        <v>43.020887672513098</v>
      </c>
      <c r="W127" s="18">
        <v>10</v>
      </c>
      <c r="Z127" s="8">
        <v>0.32222222222222219</v>
      </c>
      <c r="AA127">
        <v>27</v>
      </c>
      <c r="AC127" t="s">
        <v>422</v>
      </c>
      <c r="AD127" s="17">
        <v>0.08</v>
      </c>
      <c r="AE127" s="18">
        <v>10</v>
      </c>
      <c r="AF127" s="17">
        <v>1.9666666666666699</v>
      </c>
      <c r="AG127" s="17">
        <v>1.05555555555556</v>
      </c>
    </row>
    <row r="128" spans="1:39" x14ac:dyDescent="0.2">
      <c r="A128" t="s">
        <v>595</v>
      </c>
      <c r="B128" t="s">
        <v>403</v>
      </c>
      <c r="C128" s="20" t="s">
        <v>596</v>
      </c>
      <c r="D128" s="20" t="s">
        <v>597</v>
      </c>
      <c r="E128" t="s">
        <v>598</v>
      </c>
      <c r="H128" s="4"/>
      <c r="I128" s="9" t="s">
        <v>599</v>
      </c>
      <c r="J128" s="9" t="s">
        <v>600</v>
      </c>
      <c r="K128" s="4"/>
      <c r="L128" s="5" t="s">
        <v>81</v>
      </c>
      <c r="M128" t="s">
        <v>207</v>
      </c>
      <c r="N128" s="6" t="s">
        <v>46</v>
      </c>
      <c r="O128" s="6">
        <v>1</v>
      </c>
      <c r="P128" s="6">
        <v>201</v>
      </c>
      <c r="Q128" s="6" t="s">
        <v>74</v>
      </c>
      <c r="R128" s="7"/>
      <c r="S128" s="8">
        <v>16.504405999999999</v>
      </c>
      <c r="T128" t="s">
        <v>95</v>
      </c>
      <c r="U128" s="18">
        <v>21.4000224241403</v>
      </c>
      <c r="V128" s="18">
        <v>50.183962680113197</v>
      </c>
      <c r="W128" s="18">
        <v>10</v>
      </c>
      <c r="Z128" s="8">
        <v>0.27</v>
      </c>
      <c r="AA128">
        <v>40</v>
      </c>
      <c r="AF128">
        <v>1.8800000000000001</v>
      </c>
      <c r="AG128">
        <v>0.53</v>
      </c>
    </row>
    <row r="129" spans="1:37" x14ac:dyDescent="0.2">
      <c r="A129" t="s">
        <v>601</v>
      </c>
      <c r="B129" t="s">
        <v>403</v>
      </c>
      <c r="C129" s="20" t="s">
        <v>602</v>
      </c>
      <c r="D129" s="20" t="s">
        <v>603</v>
      </c>
      <c r="E129" t="s">
        <v>604</v>
      </c>
      <c r="H129" s="4"/>
      <c r="I129" s="9" t="s">
        <v>605</v>
      </c>
      <c r="J129" s="9" t="s">
        <v>606</v>
      </c>
      <c r="K129" s="4"/>
      <c r="L129" s="5" t="s">
        <v>81</v>
      </c>
      <c r="M129" t="s">
        <v>207</v>
      </c>
      <c r="N129" s="6" t="s">
        <v>46</v>
      </c>
      <c r="O129" s="6">
        <v>1</v>
      </c>
      <c r="P129"/>
      <c r="Q129" s="6" t="s">
        <v>74</v>
      </c>
      <c r="R129" s="7">
        <v>454</v>
      </c>
      <c r="U129" s="18">
        <v>22.6151598006192</v>
      </c>
      <c r="V129" s="18">
        <v>46.265359135174698</v>
      </c>
      <c r="W129" s="18">
        <v>10</v>
      </c>
      <c r="X129" s="8">
        <v>0.2084</v>
      </c>
      <c r="Y129" t="s">
        <v>429</v>
      </c>
      <c r="Z129">
        <v>0.13800000000000001</v>
      </c>
      <c r="AA129">
        <v>100</v>
      </c>
      <c r="AD129" s="17">
        <v>0.13</v>
      </c>
      <c r="AE129" s="18">
        <v>10</v>
      </c>
      <c r="AF129" s="17">
        <v>1.9</v>
      </c>
      <c r="AG129" s="17">
        <v>0.54</v>
      </c>
    </row>
    <row r="130" spans="1:37" x14ac:dyDescent="0.2">
      <c r="A130" t="s">
        <v>607</v>
      </c>
      <c r="B130" t="s">
        <v>403</v>
      </c>
      <c r="C130" s="20" t="s">
        <v>608</v>
      </c>
      <c r="D130" s="20" t="s">
        <v>187</v>
      </c>
      <c r="E130" t="s">
        <v>188</v>
      </c>
      <c r="L130" s="5" t="s">
        <v>44</v>
      </c>
      <c r="M130" t="s">
        <v>207</v>
      </c>
      <c r="N130" s="6" t="s">
        <v>46</v>
      </c>
      <c r="O130" s="6">
        <v>1</v>
      </c>
      <c r="P130"/>
      <c r="W130" s="3"/>
      <c r="AJ130" s="14"/>
      <c r="AK130" s="3"/>
    </row>
    <row r="131" spans="1:37" x14ac:dyDescent="0.2">
      <c r="A131" t="s">
        <v>609</v>
      </c>
      <c r="B131" t="s">
        <v>403</v>
      </c>
      <c r="C131" s="20" t="s">
        <v>610</v>
      </c>
      <c r="D131" s="20" t="s">
        <v>611</v>
      </c>
      <c r="E131" t="s">
        <v>612</v>
      </c>
      <c r="H131" s="4"/>
      <c r="I131" s="4"/>
      <c r="J131" s="4"/>
      <c r="K131" s="4"/>
      <c r="L131" s="5" t="s">
        <v>44</v>
      </c>
      <c r="M131" t="s">
        <v>207</v>
      </c>
      <c r="N131" s="6" t="s">
        <v>46</v>
      </c>
      <c r="O131" s="6">
        <v>1</v>
      </c>
      <c r="P131"/>
      <c r="R131" s="7"/>
      <c r="S131" s="8">
        <v>80.127442540000004</v>
      </c>
      <c r="T131" t="s">
        <v>88</v>
      </c>
      <c r="X131" s="8">
        <v>0.73852083999999996</v>
      </c>
      <c r="Y131" t="s">
        <v>88</v>
      </c>
      <c r="AJ131" s="14"/>
      <c r="AK131" s="3"/>
    </row>
    <row r="132" spans="1:37" ht="15" customHeight="1" x14ac:dyDescent="0.2">
      <c r="A132" t="s">
        <v>613</v>
      </c>
      <c r="B132" t="s">
        <v>403</v>
      </c>
      <c r="C132" s="20" t="s">
        <v>614</v>
      </c>
      <c r="D132" s="20" t="s">
        <v>615</v>
      </c>
      <c r="E132" t="s">
        <v>616</v>
      </c>
      <c r="H132" s="4"/>
      <c r="I132" s="4"/>
      <c r="J132" s="9" t="s">
        <v>617</v>
      </c>
      <c r="K132" s="9" t="s">
        <v>618</v>
      </c>
      <c r="L132" s="5" t="s">
        <v>81</v>
      </c>
      <c r="M132" t="s">
        <v>207</v>
      </c>
      <c r="N132" s="6" t="s">
        <v>46</v>
      </c>
      <c r="O132" s="6">
        <v>1</v>
      </c>
      <c r="P132"/>
      <c r="Q132" s="6" t="s">
        <v>74</v>
      </c>
      <c r="R132" s="7"/>
      <c r="S132" s="8">
        <v>23.057560729999999</v>
      </c>
      <c r="T132" t="s">
        <v>88</v>
      </c>
      <c r="U132" s="18">
        <v>31.7285831982012</v>
      </c>
      <c r="V132" s="18">
        <v>33.097256232656299</v>
      </c>
      <c r="W132" s="18">
        <v>6</v>
      </c>
      <c r="Z132">
        <v>0.5</v>
      </c>
      <c r="AA132">
        <v>45</v>
      </c>
      <c r="AD132" s="17">
        <v>0.43</v>
      </c>
      <c r="AE132">
        <v>10</v>
      </c>
      <c r="AF132" s="8">
        <v>6.89</v>
      </c>
      <c r="AG132" s="8">
        <v>1.85</v>
      </c>
      <c r="AJ132" s="14"/>
      <c r="AK132" s="3"/>
    </row>
    <row r="133" spans="1:37" x14ac:dyDescent="0.2">
      <c r="A133" t="s">
        <v>619</v>
      </c>
      <c r="B133" t="s">
        <v>620</v>
      </c>
      <c r="C133" s="20" t="s">
        <v>621</v>
      </c>
      <c r="D133" s="20" t="s">
        <v>622</v>
      </c>
      <c r="E133" t="s">
        <v>623</v>
      </c>
      <c r="H133" s="4"/>
      <c r="I133" s="9" t="s">
        <v>624</v>
      </c>
      <c r="J133" s="4"/>
      <c r="K133" s="9" t="s">
        <v>625</v>
      </c>
      <c r="L133" s="5" t="s">
        <v>44</v>
      </c>
      <c r="M133" t="s">
        <v>45</v>
      </c>
      <c r="N133" s="6" t="s">
        <v>46</v>
      </c>
      <c r="O133" s="6">
        <v>1</v>
      </c>
      <c r="P133"/>
      <c r="R133" s="7"/>
      <c r="S133" s="8">
        <v>60.144885600000002</v>
      </c>
      <c r="T133" t="s">
        <v>88</v>
      </c>
      <c r="AJ133" s="14"/>
      <c r="AK133" s="3"/>
    </row>
    <row r="134" spans="1:37" x14ac:dyDescent="0.2">
      <c r="A134" t="s">
        <v>626</v>
      </c>
      <c r="B134" t="s">
        <v>627</v>
      </c>
      <c r="C134" s="20" t="s">
        <v>628</v>
      </c>
      <c r="D134" s="20" t="s">
        <v>629</v>
      </c>
      <c r="E134" t="s">
        <v>278</v>
      </c>
      <c r="H134" s="4"/>
      <c r="I134" s="4"/>
      <c r="J134" s="4"/>
      <c r="K134" s="4"/>
      <c r="L134" s="5" t="s">
        <v>44</v>
      </c>
      <c r="M134" t="s">
        <v>54</v>
      </c>
      <c r="N134" s="6" t="s">
        <v>65</v>
      </c>
      <c r="O134" s="6">
        <v>1</v>
      </c>
      <c r="P134"/>
      <c r="R134" s="7"/>
      <c r="AC134" t="s">
        <v>422</v>
      </c>
      <c r="AJ134" s="14"/>
      <c r="AK134" s="3"/>
    </row>
    <row r="135" spans="1:37" x14ac:dyDescent="0.2">
      <c r="A135" t="s">
        <v>630</v>
      </c>
      <c r="B135" t="s">
        <v>627</v>
      </c>
      <c r="C135" s="20" t="s">
        <v>628</v>
      </c>
      <c r="D135" s="20" t="s">
        <v>631</v>
      </c>
      <c r="E135" t="s">
        <v>632</v>
      </c>
      <c r="H135" s="4"/>
      <c r="I135" s="9" t="s">
        <v>633</v>
      </c>
      <c r="J135" s="4"/>
      <c r="K135" s="9" t="s">
        <v>634</v>
      </c>
      <c r="L135" s="5" t="s">
        <v>44</v>
      </c>
      <c r="M135" t="s">
        <v>54</v>
      </c>
      <c r="N135" s="6" t="s">
        <v>46</v>
      </c>
      <c r="O135" s="6">
        <v>1</v>
      </c>
      <c r="P135"/>
      <c r="R135" s="7">
        <v>568</v>
      </c>
      <c r="AC135" t="s">
        <v>422</v>
      </c>
      <c r="AJ135" s="14"/>
      <c r="AK135" s="3"/>
    </row>
    <row r="136" spans="1:37" x14ac:dyDescent="0.2">
      <c r="A136" t="s">
        <v>635</v>
      </c>
      <c r="B136" t="s">
        <v>627</v>
      </c>
      <c r="C136" s="20" t="s">
        <v>628</v>
      </c>
      <c r="D136" s="20" t="s">
        <v>636</v>
      </c>
      <c r="E136" t="s">
        <v>146</v>
      </c>
      <c r="L136" s="5" t="s">
        <v>63</v>
      </c>
      <c r="M136" t="s">
        <v>207</v>
      </c>
      <c r="N136" s="6" t="s">
        <v>65</v>
      </c>
      <c r="O136" s="6">
        <v>1</v>
      </c>
      <c r="P136"/>
      <c r="AJ136" s="14"/>
      <c r="AK136" s="3"/>
    </row>
    <row r="137" spans="1:37" x14ac:dyDescent="0.2">
      <c r="A137" t="s">
        <v>637</v>
      </c>
      <c r="B137" t="s">
        <v>638</v>
      </c>
      <c r="C137" s="20" t="s">
        <v>639</v>
      </c>
      <c r="D137" s="20" t="s">
        <v>640</v>
      </c>
      <c r="E137" t="s">
        <v>641</v>
      </c>
      <c r="H137" s="4"/>
      <c r="I137" s="4"/>
      <c r="J137" s="4"/>
      <c r="K137" s="9" t="s">
        <v>642</v>
      </c>
      <c r="L137" s="6" t="s">
        <v>117</v>
      </c>
      <c r="M137" t="s">
        <v>207</v>
      </c>
      <c r="N137" s="6" t="s">
        <v>65</v>
      </c>
      <c r="O137" s="6" t="s">
        <v>208</v>
      </c>
      <c r="P137"/>
      <c r="Q137" s="6" t="s">
        <v>74</v>
      </c>
      <c r="R137" s="7"/>
      <c r="S137" s="8">
        <v>37.143515319999999</v>
      </c>
      <c r="T137" t="s">
        <v>88</v>
      </c>
      <c r="X137" s="8">
        <v>2829.62862</v>
      </c>
      <c r="Y137" t="s">
        <v>88</v>
      </c>
      <c r="Z137" s="8">
        <v>1.31</v>
      </c>
      <c r="AA137">
        <v>10</v>
      </c>
      <c r="AF137" s="8">
        <v>10.35</v>
      </c>
      <c r="AG137" s="8">
        <v>3.15</v>
      </c>
      <c r="AJ137" s="14"/>
      <c r="AK137" s="3"/>
    </row>
    <row r="138" spans="1:37" x14ac:dyDescent="0.2">
      <c r="A138" t="s">
        <v>643</v>
      </c>
      <c r="B138" t="s">
        <v>638</v>
      </c>
      <c r="C138" s="20" t="s">
        <v>644</v>
      </c>
      <c r="D138" s="20" t="s">
        <v>645</v>
      </c>
      <c r="E138" t="s">
        <v>646</v>
      </c>
      <c r="H138" t="s">
        <v>647</v>
      </c>
      <c r="L138" s="6" t="s">
        <v>94</v>
      </c>
      <c r="M138" t="s">
        <v>64</v>
      </c>
      <c r="N138" s="6" t="s">
        <v>65</v>
      </c>
      <c r="O138" s="6">
        <v>3</v>
      </c>
      <c r="P138"/>
      <c r="AJ138" s="14"/>
      <c r="AK138" s="3"/>
    </row>
    <row r="139" spans="1:37" x14ac:dyDescent="0.2">
      <c r="A139" t="s">
        <v>648</v>
      </c>
      <c r="B139" s="9" t="s">
        <v>638</v>
      </c>
      <c r="C139" s="69" t="s">
        <v>649</v>
      </c>
      <c r="D139" s="20" t="s">
        <v>650</v>
      </c>
      <c r="E139" t="s">
        <v>651</v>
      </c>
      <c r="H139" s="4"/>
      <c r="I139" s="9" t="s">
        <v>652</v>
      </c>
      <c r="J139" s="4"/>
      <c r="K139" s="9" t="s">
        <v>653</v>
      </c>
      <c r="L139" s="6" t="s">
        <v>99</v>
      </c>
      <c r="M139" t="s">
        <v>207</v>
      </c>
      <c r="N139" s="6" t="s">
        <v>65</v>
      </c>
      <c r="O139" s="6">
        <v>2</v>
      </c>
      <c r="P139" s="7">
        <v>214</v>
      </c>
      <c r="Q139" s="7"/>
      <c r="R139" s="7"/>
      <c r="S139" s="8"/>
      <c r="T139" s="3"/>
      <c r="U139" s="3"/>
      <c r="V139" s="3"/>
      <c r="W139" s="3"/>
      <c r="X139" s="8"/>
      <c r="Y139" s="3"/>
      <c r="Z139" s="14"/>
      <c r="AA139" s="3"/>
      <c r="AB139" s="3"/>
      <c r="AC139" s="3"/>
      <c r="AD139" s="14"/>
      <c r="AE139" s="3"/>
      <c r="AF139" s="14"/>
      <c r="AG139" s="14"/>
      <c r="AH139" s="8"/>
      <c r="AI139" s="3"/>
    </row>
    <row r="140" spans="1:37" x14ac:dyDescent="0.2">
      <c r="A140" t="s">
        <v>654</v>
      </c>
      <c r="B140" t="s">
        <v>638</v>
      </c>
      <c r="C140" s="20" t="s">
        <v>649</v>
      </c>
      <c r="D140" s="20" t="s">
        <v>655</v>
      </c>
      <c r="E140" t="s">
        <v>656</v>
      </c>
      <c r="H140" t="s">
        <v>657</v>
      </c>
      <c r="L140" s="6" t="s">
        <v>99</v>
      </c>
      <c r="M140" t="s">
        <v>207</v>
      </c>
      <c r="N140" s="6" t="s">
        <v>65</v>
      </c>
      <c r="O140" s="6">
        <v>2</v>
      </c>
      <c r="P140"/>
    </row>
    <row r="141" spans="1:37" x14ac:dyDescent="0.2">
      <c r="A141" t="s">
        <v>658</v>
      </c>
      <c r="B141" s="9" t="s">
        <v>638</v>
      </c>
      <c r="C141" s="66" t="s">
        <v>659</v>
      </c>
      <c r="D141" s="20" t="s">
        <v>249</v>
      </c>
      <c r="E141" t="s">
        <v>660</v>
      </c>
      <c r="H141" s="4"/>
      <c r="I141" s="9" t="s">
        <v>661</v>
      </c>
      <c r="J141" s="4"/>
      <c r="K141" s="4"/>
      <c r="L141" s="6" t="s">
        <v>117</v>
      </c>
      <c r="M141" t="s">
        <v>207</v>
      </c>
      <c r="N141" s="6" t="s">
        <v>65</v>
      </c>
      <c r="O141" s="6">
        <v>2</v>
      </c>
      <c r="P141" s="7">
        <v>216</v>
      </c>
      <c r="Q141" s="7" t="s">
        <v>74</v>
      </c>
      <c r="R141" s="7"/>
      <c r="S141">
        <v>13.210201789999999</v>
      </c>
      <c r="T141" t="s">
        <v>662</v>
      </c>
      <c r="U141" s="3"/>
      <c r="V141" s="3"/>
      <c r="W141" s="3"/>
      <c r="X141" s="8"/>
      <c r="Y141" s="3"/>
      <c r="Z141" s="14"/>
      <c r="AA141" s="3"/>
      <c r="AB141" s="3"/>
      <c r="AC141" s="3"/>
      <c r="AD141" s="14"/>
      <c r="AE141" s="3"/>
      <c r="AF141" s="14"/>
      <c r="AG141" s="14"/>
      <c r="AH141" s="8"/>
      <c r="AI141" s="3"/>
    </row>
    <row r="142" spans="1:37" x14ac:dyDescent="0.2">
      <c r="A142" t="s">
        <v>663</v>
      </c>
      <c r="B142" t="s">
        <v>638</v>
      </c>
      <c r="C142" s="20" t="s">
        <v>664</v>
      </c>
      <c r="D142" s="20" t="s">
        <v>665</v>
      </c>
      <c r="E142" t="s">
        <v>666</v>
      </c>
      <c r="I142" s="3"/>
      <c r="J142" s="3"/>
      <c r="L142" s="6" t="s">
        <v>99</v>
      </c>
      <c r="M142" t="s">
        <v>207</v>
      </c>
      <c r="N142" s="6" t="s">
        <v>46</v>
      </c>
      <c r="O142" s="6">
        <v>1</v>
      </c>
      <c r="R142" s="3"/>
      <c r="S142">
        <v>9.6432015419999999</v>
      </c>
      <c r="T142" t="s">
        <v>66</v>
      </c>
      <c r="U142" s="3"/>
      <c r="V142" s="3"/>
      <c r="W142" s="3"/>
      <c r="X142" s="8"/>
      <c r="Y142" s="3"/>
      <c r="Z142" s="14"/>
      <c r="AA142" s="3"/>
      <c r="AB142" s="3"/>
      <c r="AC142" s="3"/>
      <c r="AD142" s="14"/>
      <c r="AE142" s="3"/>
      <c r="AF142" s="14"/>
      <c r="AG142" s="14"/>
      <c r="AH142" s="8">
        <f>(0.22+0.64+0.31+0.232)/4</f>
        <v>0.35049999999999998</v>
      </c>
      <c r="AI142" t="s">
        <v>667</v>
      </c>
    </row>
    <row r="143" spans="1:37" x14ac:dyDescent="0.2">
      <c r="A143" t="s">
        <v>668</v>
      </c>
      <c r="B143" t="s">
        <v>669</v>
      </c>
      <c r="C143" s="20" t="s">
        <v>670</v>
      </c>
      <c r="D143" s="20" t="s">
        <v>671</v>
      </c>
      <c r="E143" t="s">
        <v>85</v>
      </c>
      <c r="L143" s="5" t="s">
        <v>94</v>
      </c>
      <c r="M143" t="s">
        <v>64</v>
      </c>
      <c r="N143" s="6" t="s">
        <v>46</v>
      </c>
      <c r="O143" s="6">
        <v>1</v>
      </c>
      <c r="P143"/>
    </row>
    <row r="144" spans="1:37" x14ac:dyDescent="0.2">
      <c r="A144" t="s">
        <v>672</v>
      </c>
      <c r="B144" t="s">
        <v>673</v>
      </c>
      <c r="C144" s="20" t="s">
        <v>674</v>
      </c>
      <c r="D144" s="20" t="s">
        <v>675</v>
      </c>
      <c r="E144" t="s">
        <v>676</v>
      </c>
      <c r="F144">
        <v>1</v>
      </c>
      <c r="L144" s="6" t="s">
        <v>99</v>
      </c>
      <c r="M144" t="s">
        <v>207</v>
      </c>
      <c r="N144" s="6" t="s">
        <v>46</v>
      </c>
      <c r="O144" s="6">
        <v>1</v>
      </c>
      <c r="P144"/>
    </row>
    <row r="145" spans="1:38" x14ac:dyDescent="0.2">
      <c r="A145" t="s">
        <v>677</v>
      </c>
      <c r="B145" t="s">
        <v>673</v>
      </c>
      <c r="C145" s="20" t="s">
        <v>674</v>
      </c>
      <c r="D145" s="20" t="s">
        <v>678</v>
      </c>
      <c r="E145" t="s">
        <v>679</v>
      </c>
      <c r="I145" s="3"/>
      <c r="J145" s="3"/>
      <c r="L145" s="6" t="s">
        <v>99</v>
      </c>
      <c r="M145" t="s">
        <v>64</v>
      </c>
      <c r="N145" s="6" t="s">
        <v>65</v>
      </c>
      <c r="O145" s="6">
        <v>3</v>
      </c>
      <c r="R145" s="3"/>
      <c r="S145" s="8"/>
      <c r="T145" s="3"/>
      <c r="U145" s="3"/>
      <c r="V145" s="3"/>
      <c r="W145" s="3"/>
      <c r="X145" s="8"/>
      <c r="Y145" s="3"/>
      <c r="Z145" s="14"/>
      <c r="AA145" s="3"/>
      <c r="AB145" s="3"/>
      <c r="AC145" s="3"/>
      <c r="AD145" s="14"/>
      <c r="AE145" s="3"/>
      <c r="AF145" s="14"/>
      <c r="AG145" s="14"/>
      <c r="AH145" s="8">
        <v>0.29219183100000001</v>
      </c>
      <c r="AI145" t="s">
        <v>66</v>
      </c>
    </row>
    <row r="146" spans="1:38" x14ac:dyDescent="0.2">
      <c r="A146" t="s">
        <v>680</v>
      </c>
      <c r="B146" t="s">
        <v>673</v>
      </c>
      <c r="C146" s="20" t="s">
        <v>674</v>
      </c>
      <c r="D146" s="20" t="s">
        <v>681</v>
      </c>
      <c r="E146" t="s">
        <v>682</v>
      </c>
      <c r="H146" s="4"/>
      <c r="I146" s="4"/>
      <c r="J146" s="4"/>
      <c r="K146" s="9" t="s">
        <v>683</v>
      </c>
      <c r="L146" s="6" t="s">
        <v>99</v>
      </c>
      <c r="M146" t="s">
        <v>64</v>
      </c>
      <c r="N146" s="6" t="s">
        <v>65</v>
      </c>
      <c r="O146" s="6">
        <v>2</v>
      </c>
      <c r="Q146" s="6" t="s">
        <v>74</v>
      </c>
      <c r="R146" s="7"/>
      <c r="S146" s="8"/>
      <c r="T146" s="3"/>
      <c r="U146" s="3"/>
      <c r="V146" s="3"/>
      <c r="W146" s="3"/>
      <c r="X146" s="8"/>
      <c r="Y146" s="3"/>
      <c r="Z146" s="17">
        <v>44.633333333333297</v>
      </c>
      <c r="AA146">
        <v>3</v>
      </c>
      <c r="AD146" s="8"/>
      <c r="AF146" s="8">
        <v>5.87</v>
      </c>
      <c r="AG146" s="8">
        <v>5.13</v>
      </c>
      <c r="AH146" s="8">
        <v>0.32532479800000003</v>
      </c>
      <c r="AI146" t="s">
        <v>66</v>
      </c>
    </row>
    <row r="147" spans="1:38" x14ac:dyDescent="0.2">
      <c r="A147" t="s">
        <v>684</v>
      </c>
      <c r="B147" t="s">
        <v>673</v>
      </c>
      <c r="C147" s="20" t="s">
        <v>674</v>
      </c>
      <c r="D147" s="20" t="s">
        <v>685</v>
      </c>
      <c r="E147" t="s">
        <v>686</v>
      </c>
      <c r="F147">
        <v>1</v>
      </c>
      <c r="H147" s="4"/>
      <c r="I147" s="4"/>
      <c r="J147" s="4"/>
      <c r="K147" s="9"/>
      <c r="L147" s="6" t="s">
        <v>99</v>
      </c>
      <c r="M147" t="s">
        <v>64</v>
      </c>
      <c r="N147" s="6" t="s">
        <v>65</v>
      </c>
      <c r="O147" s="6">
        <v>2</v>
      </c>
      <c r="R147" s="7"/>
      <c r="S147" s="8"/>
      <c r="T147" s="3"/>
      <c r="U147" s="3"/>
      <c r="V147" s="3"/>
      <c r="W147" s="3"/>
      <c r="X147" s="8"/>
      <c r="Y147" s="3"/>
      <c r="Z147" s="17"/>
      <c r="AD147" s="8"/>
      <c r="AF147" s="8"/>
      <c r="AG147" s="8"/>
      <c r="AH147" s="8"/>
    </row>
    <row r="148" spans="1:38" x14ac:dyDescent="0.2">
      <c r="A148" t="s">
        <v>687</v>
      </c>
      <c r="B148" t="s">
        <v>673</v>
      </c>
      <c r="C148" s="20" t="s">
        <v>688</v>
      </c>
      <c r="D148" s="20" t="s">
        <v>689</v>
      </c>
      <c r="E148" t="s">
        <v>690</v>
      </c>
      <c r="H148" s="4"/>
      <c r="I148" s="9" t="s">
        <v>691</v>
      </c>
      <c r="J148" s="4"/>
      <c r="K148" s="9" t="s">
        <v>692</v>
      </c>
      <c r="L148" s="5" t="s">
        <v>117</v>
      </c>
      <c r="M148" t="s">
        <v>64</v>
      </c>
      <c r="N148" s="6" t="s">
        <v>46</v>
      </c>
      <c r="O148" s="6">
        <v>1</v>
      </c>
      <c r="P148" s="6">
        <v>84</v>
      </c>
      <c r="Q148" s="6" t="s">
        <v>74</v>
      </c>
      <c r="R148" s="7"/>
      <c r="S148" s="8"/>
      <c r="T148" s="3"/>
      <c r="U148" s="3"/>
      <c r="V148" s="3"/>
      <c r="W148" s="3"/>
      <c r="X148" s="8"/>
      <c r="Y148" s="3"/>
      <c r="Z148" s="17">
        <v>3.88</v>
      </c>
      <c r="AA148" s="18">
        <v>10</v>
      </c>
      <c r="AB148" s="18"/>
      <c r="AC148" s="18"/>
      <c r="AD148" s="17">
        <v>4.93</v>
      </c>
      <c r="AE148" s="18">
        <v>10</v>
      </c>
      <c r="AF148" s="17">
        <v>3.5</v>
      </c>
      <c r="AG148" s="17">
        <v>1.92</v>
      </c>
      <c r="AH148" s="8"/>
      <c r="AI148" s="3"/>
    </row>
    <row r="149" spans="1:38" x14ac:dyDescent="0.2">
      <c r="A149" t="s">
        <v>693</v>
      </c>
      <c r="B149" t="s">
        <v>673</v>
      </c>
      <c r="C149" s="20" t="s">
        <v>694</v>
      </c>
      <c r="D149" s="20" t="s">
        <v>695</v>
      </c>
      <c r="E149" t="s">
        <v>696</v>
      </c>
      <c r="H149" s="9" t="s">
        <v>697</v>
      </c>
      <c r="I149" s="9" t="s">
        <v>698</v>
      </c>
      <c r="J149" s="4"/>
      <c r="K149" s="4"/>
      <c r="L149" s="5" t="s">
        <v>63</v>
      </c>
      <c r="M149" t="s">
        <v>64</v>
      </c>
      <c r="N149" s="6" t="s">
        <v>46</v>
      </c>
      <c r="O149" s="6">
        <v>1</v>
      </c>
      <c r="Q149" s="6" t="s">
        <v>74</v>
      </c>
      <c r="R149" s="7"/>
      <c r="S149" s="8">
        <v>30.708533869285699</v>
      </c>
      <c r="T149" t="s">
        <v>88</v>
      </c>
      <c r="V149" s="3"/>
      <c r="W149" s="3"/>
      <c r="X149" s="8">
        <v>17.411799291891001</v>
      </c>
      <c r="Y149" t="s">
        <v>88</v>
      </c>
      <c r="Z149" s="17">
        <v>9.6999999999999993</v>
      </c>
      <c r="AA149">
        <v>7</v>
      </c>
      <c r="AD149" s="17">
        <v>12</v>
      </c>
      <c r="AE149" s="18">
        <v>6</v>
      </c>
      <c r="AF149" s="8">
        <v>3.6</v>
      </c>
      <c r="AG149" s="8">
        <v>2.71</v>
      </c>
      <c r="AH149" s="8"/>
      <c r="AI149" s="3"/>
    </row>
    <row r="150" spans="1:38" x14ac:dyDescent="0.2">
      <c r="A150" t="s">
        <v>699</v>
      </c>
      <c r="B150" s="9" t="s">
        <v>700</v>
      </c>
      <c r="C150" s="66" t="s">
        <v>701</v>
      </c>
      <c r="D150" s="20" t="s">
        <v>150</v>
      </c>
      <c r="E150" t="s">
        <v>41</v>
      </c>
      <c r="H150" s="4"/>
      <c r="I150" s="4"/>
      <c r="J150" s="4"/>
      <c r="K150" s="4"/>
      <c r="L150" s="5" t="s">
        <v>279</v>
      </c>
      <c r="M150" t="s">
        <v>64</v>
      </c>
      <c r="N150" s="6" t="s">
        <v>55</v>
      </c>
      <c r="O150" s="6">
        <v>1</v>
      </c>
      <c r="P150" s="7">
        <v>39</v>
      </c>
      <c r="Q150" s="7"/>
      <c r="R150" s="7"/>
      <c r="S150" s="8"/>
      <c r="T150" s="3"/>
      <c r="U150" s="3"/>
      <c r="V150" s="3"/>
      <c r="W150" s="3"/>
      <c r="X150" s="8"/>
      <c r="Y150" s="3"/>
      <c r="Z150" s="14"/>
      <c r="AA150" s="3"/>
      <c r="AB150" s="3"/>
      <c r="AC150" s="3"/>
      <c r="AD150" s="14"/>
      <c r="AE150" s="3"/>
      <c r="AF150" s="14"/>
      <c r="AG150" s="14"/>
      <c r="AH150" s="8"/>
      <c r="AI150" s="3"/>
    </row>
    <row r="151" spans="1:38" x14ac:dyDescent="0.2">
      <c r="A151" t="s">
        <v>702</v>
      </c>
      <c r="B151" t="s">
        <v>700</v>
      </c>
      <c r="C151" s="20" t="s">
        <v>703</v>
      </c>
      <c r="D151" s="20" t="s">
        <v>187</v>
      </c>
      <c r="E151" t="s">
        <v>188</v>
      </c>
      <c r="I151" s="3"/>
      <c r="J151" s="3"/>
      <c r="L151" s="5" t="s">
        <v>279</v>
      </c>
      <c r="M151" t="s">
        <v>207</v>
      </c>
      <c r="N151" s="6" t="s">
        <v>65</v>
      </c>
      <c r="O151" s="6">
        <v>1</v>
      </c>
      <c r="R151" s="3"/>
      <c r="S151" s="8"/>
      <c r="T151" s="3"/>
      <c r="U151" s="3"/>
      <c r="W151" s="3"/>
      <c r="X151" s="8"/>
      <c r="Y151" s="3"/>
      <c r="Z151" s="14"/>
      <c r="AA151" s="3"/>
      <c r="AB151" s="3"/>
      <c r="AC151" s="3"/>
      <c r="AD151" s="14"/>
      <c r="AE151" s="3"/>
      <c r="AF151" s="14"/>
      <c r="AG151" s="14"/>
      <c r="AH151" s="8"/>
      <c r="AI151" s="3"/>
    </row>
    <row r="152" spans="1:38" x14ac:dyDescent="0.2">
      <c r="A152" t="s">
        <v>704</v>
      </c>
      <c r="B152" t="s">
        <v>705</v>
      </c>
      <c r="C152" s="20" t="s">
        <v>706</v>
      </c>
      <c r="D152" s="20" t="s">
        <v>707</v>
      </c>
      <c r="E152" t="s">
        <v>708</v>
      </c>
      <c r="F152">
        <v>1</v>
      </c>
      <c r="I152" s="3"/>
      <c r="J152" s="3"/>
      <c r="L152" s="6" t="s">
        <v>99</v>
      </c>
      <c r="M152" t="s">
        <v>64</v>
      </c>
      <c r="N152" s="6" t="s">
        <v>65</v>
      </c>
      <c r="O152" s="6">
        <v>3</v>
      </c>
      <c r="R152" s="3"/>
      <c r="S152" s="8"/>
      <c r="T152" s="3"/>
      <c r="U152" s="3"/>
      <c r="W152" s="3"/>
      <c r="X152" s="8"/>
      <c r="Y152" s="3"/>
      <c r="Z152" s="14"/>
      <c r="AA152" s="3"/>
      <c r="AB152" s="3"/>
      <c r="AC152" s="3"/>
      <c r="AD152" s="14"/>
      <c r="AE152" s="3"/>
      <c r="AF152" s="14"/>
      <c r="AG152" s="14"/>
      <c r="AH152" s="8"/>
      <c r="AI152" s="3"/>
    </row>
    <row r="153" spans="1:38" x14ac:dyDescent="0.2">
      <c r="A153" t="s">
        <v>709</v>
      </c>
      <c r="B153" t="s">
        <v>705</v>
      </c>
      <c r="C153" s="20" t="s">
        <v>706</v>
      </c>
      <c r="D153" s="20" t="s">
        <v>710</v>
      </c>
      <c r="E153" t="s">
        <v>711</v>
      </c>
      <c r="I153" s="3"/>
      <c r="J153" s="3"/>
      <c r="L153" s="6" t="s">
        <v>99</v>
      </c>
      <c r="M153" t="s">
        <v>64</v>
      </c>
      <c r="N153" s="6" t="s">
        <v>65</v>
      </c>
      <c r="O153" s="6">
        <v>3</v>
      </c>
      <c r="R153" s="3"/>
      <c r="S153" s="8"/>
      <c r="T153" s="3"/>
      <c r="U153" s="3"/>
      <c r="W153" s="3"/>
      <c r="X153" s="8"/>
      <c r="Y153" s="3"/>
      <c r="Z153" s="14"/>
      <c r="AA153" s="3"/>
      <c r="AB153" s="3"/>
      <c r="AC153" s="3"/>
      <c r="AD153" s="14"/>
      <c r="AE153" s="3"/>
      <c r="AF153" s="14"/>
      <c r="AG153" s="14"/>
      <c r="AH153" s="8"/>
      <c r="AI153" s="3"/>
    </row>
    <row r="154" spans="1:38" x14ac:dyDescent="0.2">
      <c r="A154" t="s">
        <v>712</v>
      </c>
      <c r="B154" t="s">
        <v>713</v>
      </c>
      <c r="C154" s="20" t="s">
        <v>714</v>
      </c>
      <c r="D154" s="20" t="s">
        <v>715</v>
      </c>
      <c r="E154" t="s">
        <v>716</v>
      </c>
      <c r="H154" s="4"/>
      <c r="I154" s="4"/>
      <c r="J154" s="4"/>
      <c r="K154" s="9" t="s">
        <v>717</v>
      </c>
      <c r="L154" s="6" t="s">
        <v>99</v>
      </c>
      <c r="M154" t="s">
        <v>64</v>
      </c>
      <c r="N154" s="6" t="s">
        <v>65</v>
      </c>
      <c r="O154" s="6">
        <v>3</v>
      </c>
      <c r="R154" s="7"/>
      <c r="S154" s="8">
        <v>8.3040950000000002</v>
      </c>
      <c r="T154" t="s">
        <v>718</v>
      </c>
      <c r="AC154" t="s">
        <v>719</v>
      </c>
      <c r="AD154" s="17">
        <v>2220</v>
      </c>
      <c r="AE154" s="18">
        <v>4</v>
      </c>
      <c r="AF154" s="17">
        <v>19.175000000000001</v>
      </c>
      <c r="AG154" s="17">
        <v>14.925000000000001</v>
      </c>
      <c r="AH154" s="8">
        <v>0.57562666699999998</v>
      </c>
      <c r="AI154" t="s">
        <v>720</v>
      </c>
    </row>
    <row r="155" spans="1:38" x14ac:dyDescent="0.2">
      <c r="A155" t="s">
        <v>721</v>
      </c>
      <c r="B155" t="s">
        <v>722</v>
      </c>
      <c r="C155" s="20" t="s">
        <v>723</v>
      </c>
      <c r="D155" s="20" t="s">
        <v>724</v>
      </c>
      <c r="E155" t="s">
        <v>161</v>
      </c>
      <c r="H155" s="4"/>
      <c r="I155" s="4"/>
      <c r="J155" s="4"/>
      <c r="K155" s="9" t="s">
        <v>303</v>
      </c>
      <c r="L155" s="5" t="s">
        <v>63</v>
      </c>
      <c r="M155" t="s">
        <v>64</v>
      </c>
      <c r="N155" s="6" t="s">
        <v>46</v>
      </c>
      <c r="O155" s="6">
        <v>1</v>
      </c>
      <c r="R155" s="7"/>
    </row>
    <row r="156" spans="1:38" x14ac:dyDescent="0.2">
      <c r="A156" t="s">
        <v>725</v>
      </c>
      <c r="B156" t="s">
        <v>722</v>
      </c>
      <c r="C156" s="20" t="s">
        <v>726</v>
      </c>
      <c r="D156" s="20" t="s">
        <v>727</v>
      </c>
      <c r="E156" t="s">
        <v>728</v>
      </c>
      <c r="H156" s="4"/>
      <c r="I156" s="9" t="s">
        <v>729</v>
      </c>
      <c r="J156" s="4"/>
      <c r="K156" s="9" t="s">
        <v>730</v>
      </c>
      <c r="L156" s="5" t="s">
        <v>63</v>
      </c>
      <c r="M156" t="s">
        <v>64</v>
      </c>
      <c r="N156" s="6" t="s">
        <v>46</v>
      </c>
      <c r="O156" s="6">
        <v>1</v>
      </c>
      <c r="P156" s="6">
        <v>82</v>
      </c>
      <c r="R156" s="7">
        <v>483</v>
      </c>
      <c r="AD156" s="17">
        <v>6.25E-2</v>
      </c>
      <c r="AE156" s="18">
        <v>40</v>
      </c>
      <c r="AF156" s="17">
        <v>0.5</v>
      </c>
      <c r="AG156" s="17">
        <v>0.5</v>
      </c>
    </row>
    <row r="157" spans="1:38" x14ac:dyDescent="0.2">
      <c r="A157" s="48" t="s">
        <v>731</v>
      </c>
      <c r="B157" s="48" t="s">
        <v>732</v>
      </c>
      <c r="C157" s="67" t="s">
        <v>733</v>
      </c>
      <c r="D157" s="67" t="s">
        <v>2780</v>
      </c>
      <c r="E157" s="48" t="s">
        <v>2781</v>
      </c>
      <c r="F157" s="48"/>
      <c r="G157" s="48"/>
      <c r="H157" s="48" t="s">
        <v>734</v>
      </c>
      <c r="I157" s="48" t="s">
        <v>735</v>
      </c>
      <c r="J157" s="61"/>
      <c r="K157" s="48" t="s">
        <v>73</v>
      </c>
      <c r="L157" s="65" t="s">
        <v>94</v>
      </c>
      <c r="M157" s="48" t="s">
        <v>64</v>
      </c>
      <c r="N157" s="64" t="s">
        <v>46</v>
      </c>
      <c r="O157" s="64">
        <v>1</v>
      </c>
      <c r="P157" s="7"/>
      <c r="Q157" s="7" t="s">
        <v>74</v>
      </c>
      <c r="R157" s="3"/>
    </row>
    <row r="158" spans="1:38" x14ac:dyDescent="0.2">
      <c r="A158" t="s">
        <v>736</v>
      </c>
      <c r="B158" t="s">
        <v>2799</v>
      </c>
      <c r="C158" s="70" t="s">
        <v>737</v>
      </c>
      <c r="D158" s="20" t="s">
        <v>738</v>
      </c>
      <c r="E158" t="s">
        <v>739</v>
      </c>
      <c r="F158">
        <v>1</v>
      </c>
      <c r="H158" s="9"/>
      <c r="I158" s="9" t="s">
        <v>740</v>
      </c>
      <c r="J158" s="9"/>
      <c r="K158" s="9" t="s">
        <v>741</v>
      </c>
      <c r="L158" s="6" t="s">
        <v>94</v>
      </c>
      <c r="M158" s="9" t="s">
        <v>64</v>
      </c>
      <c r="N158" s="7" t="s">
        <v>65</v>
      </c>
      <c r="O158" s="7">
        <v>3</v>
      </c>
      <c r="R158" s="7"/>
      <c r="S158" s="8"/>
      <c r="X158" s="8"/>
      <c r="AL158" s="3"/>
    </row>
    <row r="159" spans="1:38" x14ac:dyDescent="0.2">
      <c r="A159" t="s">
        <v>742</v>
      </c>
      <c r="B159" t="s">
        <v>743</v>
      </c>
      <c r="C159" s="20" t="s">
        <v>744</v>
      </c>
      <c r="D159" s="20" t="s">
        <v>745</v>
      </c>
      <c r="E159" t="s">
        <v>201</v>
      </c>
      <c r="H159" s="4"/>
      <c r="I159" s="9" t="s">
        <v>746</v>
      </c>
      <c r="J159" s="4"/>
      <c r="K159" s="9"/>
      <c r="L159" s="6" t="s">
        <v>94</v>
      </c>
      <c r="M159" t="s">
        <v>64</v>
      </c>
      <c r="N159" s="6" t="s">
        <v>46</v>
      </c>
      <c r="O159" s="6">
        <v>1</v>
      </c>
      <c r="Q159" s="6" t="s">
        <v>74</v>
      </c>
      <c r="R159" s="7"/>
      <c r="S159" s="8"/>
      <c r="AD159" s="17"/>
      <c r="AE159" s="18"/>
      <c r="AF159" s="17"/>
      <c r="AG159" s="17"/>
      <c r="AH159" s="8"/>
    </row>
    <row r="160" spans="1:38" x14ac:dyDescent="0.2">
      <c r="A160" t="s">
        <v>747</v>
      </c>
      <c r="B160" t="s">
        <v>743</v>
      </c>
      <c r="C160" s="20" t="s">
        <v>748</v>
      </c>
      <c r="D160" s="20" t="s">
        <v>749</v>
      </c>
      <c r="E160" t="s">
        <v>242</v>
      </c>
      <c r="H160" s="4"/>
      <c r="I160" s="4"/>
      <c r="J160" s="4"/>
      <c r="K160" s="4"/>
      <c r="L160" s="6" t="s">
        <v>94</v>
      </c>
      <c r="M160" t="s">
        <v>64</v>
      </c>
      <c r="N160" s="6" t="s">
        <v>55</v>
      </c>
      <c r="O160" s="6">
        <v>1</v>
      </c>
      <c r="Q160" s="6" t="s">
        <v>74</v>
      </c>
      <c r="R160" s="7"/>
    </row>
    <row r="161" spans="1:38" x14ac:dyDescent="0.2">
      <c r="A161" t="s">
        <v>750</v>
      </c>
      <c r="B161" t="s">
        <v>751</v>
      </c>
      <c r="C161" s="20" t="s">
        <v>752</v>
      </c>
      <c r="D161" s="20" t="s">
        <v>753</v>
      </c>
      <c r="E161" t="s">
        <v>754</v>
      </c>
      <c r="H161" s="4"/>
      <c r="I161" s="9" t="s">
        <v>755</v>
      </c>
      <c r="J161" s="9" t="s">
        <v>756</v>
      </c>
      <c r="K161" s="9"/>
      <c r="L161" s="5" t="s">
        <v>44</v>
      </c>
      <c r="M161" t="s">
        <v>54</v>
      </c>
      <c r="N161" s="6" t="s">
        <v>46</v>
      </c>
      <c r="O161" s="6">
        <v>1</v>
      </c>
      <c r="R161" s="7"/>
      <c r="S161" s="8">
        <v>36.186586949999999</v>
      </c>
      <c r="T161" t="s">
        <v>88</v>
      </c>
    </row>
    <row r="162" spans="1:38" x14ac:dyDescent="0.2">
      <c r="A162" t="s">
        <v>757</v>
      </c>
      <c r="B162" t="s">
        <v>751</v>
      </c>
      <c r="C162" s="20" t="s">
        <v>758</v>
      </c>
      <c r="D162" s="20" t="s">
        <v>759</v>
      </c>
      <c r="E162" t="s">
        <v>760</v>
      </c>
      <c r="H162" s="4"/>
      <c r="I162" s="9" t="s">
        <v>761</v>
      </c>
      <c r="J162" s="4"/>
      <c r="K162" s="9" t="s">
        <v>303</v>
      </c>
      <c r="L162" s="5" t="s">
        <v>44</v>
      </c>
      <c r="M162" t="s">
        <v>54</v>
      </c>
      <c r="N162" s="6" t="s">
        <v>46</v>
      </c>
      <c r="O162" s="6">
        <v>1</v>
      </c>
      <c r="R162" s="7"/>
    </row>
    <row r="163" spans="1:38" x14ac:dyDescent="0.2">
      <c r="A163" t="s">
        <v>762</v>
      </c>
      <c r="B163" t="s">
        <v>763</v>
      </c>
      <c r="C163" s="20" t="s">
        <v>764</v>
      </c>
      <c r="D163" s="20" t="s">
        <v>753</v>
      </c>
      <c r="E163" t="s">
        <v>765</v>
      </c>
      <c r="H163" s="4"/>
      <c r="I163" s="4"/>
      <c r="J163" s="4"/>
      <c r="K163" s="4"/>
      <c r="L163" s="5" t="s">
        <v>117</v>
      </c>
      <c r="M163" t="s">
        <v>54</v>
      </c>
      <c r="N163" s="6" t="s">
        <v>65</v>
      </c>
      <c r="O163" s="6">
        <v>3</v>
      </c>
      <c r="R163" s="7"/>
    </row>
    <row r="164" spans="1:38" x14ac:dyDescent="0.2">
      <c r="A164" t="s">
        <v>766</v>
      </c>
      <c r="B164" t="s">
        <v>763</v>
      </c>
      <c r="C164" s="20" t="s">
        <v>767</v>
      </c>
      <c r="D164" s="20" t="s">
        <v>768</v>
      </c>
      <c r="E164" t="s">
        <v>769</v>
      </c>
      <c r="F164">
        <v>1</v>
      </c>
      <c r="H164" s="4"/>
      <c r="I164" s="4"/>
      <c r="J164" s="4"/>
      <c r="K164" s="4"/>
      <c r="L164" s="6" t="s">
        <v>99</v>
      </c>
      <c r="M164" t="s">
        <v>207</v>
      </c>
      <c r="N164" s="6" t="s">
        <v>65</v>
      </c>
      <c r="O164" s="6">
        <v>2</v>
      </c>
      <c r="R164" s="7"/>
    </row>
    <row r="165" spans="1:38" x14ac:dyDescent="0.2">
      <c r="A165" t="s">
        <v>770</v>
      </c>
      <c r="B165" t="s">
        <v>763</v>
      </c>
      <c r="C165" s="20" t="s">
        <v>771</v>
      </c>
      <c r="D165" s="20" t="s">
        <v>772</v>
      </c>
      <c r="F165">
        <v>1</v>
      </c>
      <c r="H165" s="4"/>
      <c r="I165" s="4"/>
      <c r="J165" s="4"/>
      <c r="K165" s="4"/>
      <c r="L165" s="6" t="s">
        <v>94</v>
      </c>
      <c r="M165" t="s">
        <v>64</v>
      </c>
      <c r="N165" s="6" t="s">
        <v>773</v>
      </c>
      <c r="O165" s="6">
        <v>1</v>
      </c>
      <c r="R165" s="7"/>
    </row>
    <row r="166" spans="1:38" x14ac:dyDescent="0.2">
      <c r="A166" t="s">
        <v>774</v>
      </c>
      <c r="B166" t="s">
        <v>775</v>
      </c>
      <c r="C166" s="20" t="s">
        <v>776</v>
      </c>
      <c r="D166" s="20" t="s">
        <v>777</v>
      </c>
      <c r="E166" t="s">
        <v>134</v>
      </c>
      <c r="H166" t="s">
        <v>778</v>
      </c>
      <c r="I166" s="3"/>
      <c r="J166" s="3"/>
      <c r="L166" s="6" t="s">
        <v>94</v>
      </c>
      <c r="M166" t="s">
        <v>64</v>
      </c>
      <c r="N166" s="6" t="s">
        <v>65</v>
      </c>
      <c r="O166" s="6">
        <v>1</v>
      </c>
      <c r="R166" s="3"/>
      <c r="S166">
        <v>22.07505519</v>
      </c>
      <c r="T166" t="s">
        <v>564</v>
      </c>
      <c r="AH166" s="8">
        <v>0.33263694999999999</v>
      </c>
      <c r="AI166" t="s">
        <v>66</v>
      </c>
    </row>
    <row r="167" spans="1:38" x14ac:dyDescent="0.2">
      <c r="A167" s="48" t="s">
        <v>2784</v>
      </c>
      <c r="B167" s="48" t="s">
        <v>780</v>
      </c>
      <c r="C167" s="67" t="s">
        <v>2782</v>
      </c>
      <c r="D167" s="67" t="s">
        <v>781</v>
      </c>
      <c r="E167" s="48" t="s">
        <v>2783</v>
      </c>
      <c r="F167" s="48"/>
      <c r="G167" s="48"/>
      <c r="H167" s="62" t="s">
        <v>779</v>
      </c>
      <c r="I167" s="48"/>
      <c r="J167" s="62"/>
      <c r="K167" s="81" t="s">
        <v>782</v>
      </c>
      <c r="L167" s="64" t="s">
        <v>99</v>
      </c>
      <c r="M167" s="48" t="s">
        <v>64</v>
      </c>
      <c r="N167" s="64" t="s">
        <v>65</v>
      </c>
      <c r="O167" s="64">
        <v>4</v>
      </c>
      <c r="R167" s="7"/>
      <c r="S167">
        <v>14.16201949</v>
      </c>
      <c r="T167" t="s">
        <v>66</v>
      </c>
      <c r="X167">
        <v>5087.5600000000004</v>
      </c>
      <c r="Y167" t="s">
        <v>66</v>
      </c>
      <c r="AH167" s="8">
        <v>0.62</v>
      </c>
      <c r="AI167" t="s">
        <v>783</v>
      </c>
    </row>
    <row r="168" spans="1:38" x14ac:dyDescent="0.2">
      <c r="A168" t="s">
        <v>784</v>
      </c>
      <c r="B168" t="s">
        <v>785</v>
      </c>
      <c r="C168" s="20" t="s">
        <v>786</v>
      </c>
      <c r="D168" s="20" t="s">
        <v>787</v>
      </c>
      <c r="E168" t="s">
        <v>788</v>
      </c>
      <c r="L168" s="5" t="s">
        <v>81</v>
      </c>
      <c r="M168" t="s">
        <v>64</v>
      </c>
      <c r="N168" s="6" t="s">
        <v>65</v>
      </c>
      <c r="O168" s="6">
        <v>1</v>
      </c>
      <c r="P168"/>
      <c r="AL168" s="3"/>
    </row>
    <row r="169" spans="1:38" x14ac:dyDescent="0.2">
      <c r="A169" t="s">
        <v>789</v>
      </c>
      <c r="B169" t="s">
        <v>790</v>
      </c>
      <c r="C169" s="20" t="s">
        <v>791</v>
      </c>
      <c r="D169" s="20" t="s">
        <v>792</v>
      </c>
      <c r="E169" t="s">
        <v>793</v>
      </c>
      <c r="H169" s="4"/>
      <c r="I169" s="4"/>
      <c r="J169" s="4"/>
      <c r="K169" s="9" t="s">
        <v>794</v>
      </c>
      <c r="L169" s="6" t="s">
        <v>99</v>
      </c>
      <c r="M169" t="s">
        <v>54</v>
      </c>
      <c r="N169" s="6" t="s">
        <v>46</v>
      </c>
      <c r="O169" s="6">
        <v>1</v>
      </c>
      <c r="R169" s="7"/>
      <c r="S169">
        <v>21.03</v>
      </c>
      <c r="T169" t="s">
        <v>66</v>
      </c>
    </row>
    <row r="170" spans="1:38" x14ac:dyDescent="0.2">
      <c r="A170" t="s">
        <v>795</v>
      </c>
      <c r="B170" t="s">
        <v>796</v>
      </c>
      <c r="C170" s="20" t="s">
        <v>797</v>
      </c>
      <c r="D170" s="20" t="s">
        <v>798</v>
      </c>
      <c r="E170" t="s">
        <v>799</v>
      </c>
      <c r="F170">
        <v>1</v>
      </c>
      <c r="H170" s="4"/>
      <c r="I170" s="4"/>
      <c r="J170" s="4"/>
      <c r="K170" s="9"/>
      <c r="L170" s="6" t="s">
        <v>94</v>
      </c>
      <c r="M170" t="s">
        <v>64</v>
      </c>
      <c r="N170" s="6" t="s">
        <v>55</v>
      </c>
      <c r="O170" s="6">
        <v>1</v>
      </c>
      <c r="R170" s="7"/>
    </row>
    <row r="171" spans="1:38" x14ac:dyDescent="0.2">
      <c r="A171" t="s">
        <v>800</v>
      </c>
      <c r="B171" t="s">
        <v>796</v>
      </c>
      <c r="C171" s="20" t="s">
        <v>797</v>
      </c>
      <c r="D171" s="20" t="s">
        <v>801</v>
      </c>
      <c r="E171" t="s">
        <v>802</v>
      </c>
      <c r="H171" s="4"/>
      <c r="I171" s="4"/>
      <c r="J171" s="4"/>
      <c r="K171" s="9" t="s">
        <v>803</v>
      </c>
      <c r="L171" s="6" t="s">
        <v>94</v>
      </c>
      <c r="M171" t="s">
        <v>64</v>
      </c>
      <c r="N171" s="6" t="s">
        <v>55</v>
      </c>
      <c r="O171" s="6">
        <v>1</v>
      </c>
      <c r="R171" s="7"/>
      <c r="S171" s="8"/>
      <c r="T171" s="3"/>
      <c r="U171" s="3"/>
      <c r="V171" s="3"/>
      <c r="W171" s="3"/>
      <c r="X171" s="8"/>
      <c r="Y171" s="3"/>
      <c r="Z171" s="8"/>
      <c r="AA171" s="3"/>
      <c r="AB171" s="3"/>
      <c r="AC171" s="3"/>
      <c r="AD171" s="17">
        <v>70.290000000000006</v>
      </c>
      <c r="AE171" s="3">
        <v>10</v>
      </c>
      <c r="AF171" s="8">
        <v>8.35</v>
      </c>
      <c r="AG171" s="8">
        <v>3.2</v>
      </c>
      <c r="AH171" s="8"/>
      <c r="AI171" s="3"/>
      <c r="AJ171" s="8"/>
      <c r="AK171" s="3"/>
    </row>
    <row r="172" spans="1:38" x14ac:dyDescent="0.2">
      <c r="A172" t="s">
        <v>804</v>
      </c>
      <c r="B172" t="s">
        <v>796</v>
      </c>
      <c r="C172" s="20" t="s">
        <v>797</v>
      </c>
      <c r="D172" s="20" t="s">
        <v>805</v>
      </c>
      <c r="E172" t="s">
        <v>806</v>
      </c>
      <c r="L172" s="5" t="s">
        <v>81</v>
      </c>
      <c r="M172" t="s">
        <v>64</v>
      </c>
      <c r="N172" s="6" t="s">
        <v>65</v>
      </c>
      <c r="O172" s="6">
        <v>2</v>
      </c>
      <c r="P172"/>
      <c r="Q172" s="6" t="s">
        <v>74</v>
      </c>
    </row>
    <row r="173" spans="1:38" s="48" customFormat="1" x14ac:dyDescent="0.2">
      <c r="A173" s="50" t="s">
        <v>807</v>
      </c>
      <c r="B173" s="50" t="s">
        <v>796</v>
      </c>
      <c r="C173" s="51" t="s">
        <v>808</v>
      </c>
      <c r="D173" s="51" t="s">
        <v>809</v>
      </c>
      <c r="E173" s="52" t="s">
        <v>178</v>
      </c>
      <c r="F173" s="50"/>
      <c r="G173" s="50"/>
      <c r="H173" s="50"/>
      <c r="I173" s="50"/>
      <c r="J173" s="50"/>
      <c r="K173" s="50"/>
      <c r="L173" s="53" t="s">
        <v>99</v>
      </c>
      <c r="M173" s="50" t="s">
        <v>64</v>
      </c>
      <c r="N173" s="54" t="s">
        <v>65</v>
      </c>
      <c r="O173" s="54">
        <v>1</v>
      </c>
      <c r="P173" s="50"/>
      <c r="Q173" s="54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</row>
    <row r="174" spans="1:38" x14ac:dyDescent="0.2">
      <c r="A174" t="s">
        <v>810</v>
      </c>
      <c r="B174" t="s">
        <v>796</v>
      </c>
      <c r="C174" s="66" t="s">
        <v>808</v>
      </c>
      <c r="D174" s="20" t="s">
        <v>811</v>
      </c>
      <c r="E174" t="s">
        <v>178</v>
      </c>
      <c r="F174">
        <v>1</v>
      </c>
      <c r="L174" s="6" t="s">
        <v>99</v>
      </c>
      <c r="M174" t="s">
        <v>64</v>
      </c>
      <c r="N174" s="6" t="s">
        <v>65</v>
      </c>
      <c r="O174" s="6">
        <v>1</v>
      </c>
      <c r="P174"/>
    </row>
    <row r="175" spans="1:38" x14ac:dyDescent="0.2">
      <c r="A175" t="s">
        <v>812</v>
      </c>
      <c r="B175" t="s">
        <v>796</v>
      </c>
      <c r="C175" s="66" t="s">
        <v>808</v>
      </c>
      <c r="D175" s="20" t="s">
        <v>813</v>
      </c>
      <c r="E175" t="s">
        <v>814</v>
      </c>
      <c r="F175">
        <v>1</v>
      </c>
      <c r="L175" s="6" t="s">
        <v>99</v>
      </c>
      <c r="M175" t="s">
        <v>64</v>
      </c>
      <c r="N175" s="6" t="s">
        <v>65</v>
      </c>
      <c r="O175" s="6">
        <v>1</v>
      </c>
      <c r="P175"/>
    </row>
    <row r="176" spans="1:38" x14ac:dyDescent="0.2">
      <c r="A176" t="s">
        <v>815</v>
      </c>
      <c r="B176" s="9" t="s">
        <v>796</v>
      </c>
      <c r="C176" s="66" t="s">
        <v>808</v>
      </c>
      <c r="D176" s="20" t="s">
        <v>187</v>
      </c>
      <c r="E176" t="s">
        <v>188</v>
      </c>
      <c r="H176" s="4"/>
      <c r="I176" s="9" t="s">
        <v>816</v>
      </c>
      <c r="J176" s="4"/>
      <c r="K176" s="4"/>
      <c r="L176" s="6" t="s">
        <v>99</v>
      </c>
      <c r="M176" t="s">
        <v>64</v>
      </c>
      <c r="N176" s="6" t="s">
        <v>65</v>
      </c>
      <c r="O176" s="6">
        <v>1</v>
      </c>
      <c r="P176" s="7">
        <v>107</v>
      </c>
      <c r="Q176" s="7"/>
      <c r="R176" s="7"/>
    </row>
    <row r="177" spans="1:36" x14ac:dyDescent="0.2">
      <c r="A177" t="s">
        <v>817</v>
      </c>
      <c r="B177" t="s">
        <v>796</v>
      </c>
      <c r="C177" s="20" t="s">
        <v>818</v>
      </c>
      <c r="D177" s="20" t="s">
        <v>819</v>
      </c>
      <c r="E177" t="s">
        <v>820</v>
      </c>
      <c r="I177" s="3"/>
      <c r="J177" s="3"/>
      <c r="L177" s="6" t="s">
        <v>99</v>
      </c>
      <c r="M177" t="s">
        <v>64</v>
      </c>
      <c r="N177" s="6" t="s">
        <v>65</v>
      </c>
      <c r="O177" s="6">
        <v>2</v>
      </c>
      <c r="P177"/>
      <c r="R177" s="3"/>
      <c r="S177">
        <v>9.0091735259999997</v>
      </c>
      <c r="T177" t="s">
        <v>66</v>
      </c>
      <c r="X177">
        <v>615.548</v>
      </c>
      <c r="Y177" t="s">
        <v>66</v>
      </c>
      <c r="AH177" s="8">
        <v>0.67700000000000005</v>
      </c>
      <c r="AI177" t="s">
        <v>821</v>
      </c>
    </row>
    <row r="178" spans="1:36" x14ac:dyDescent="0.2">
      <c r="A178" t="s">
        <v>822</v>
      </c>
      <c r="B178" t="s">
        <v>796</v>
      </c>
      <c r="C178" s="20" t="s">
        <v>818</v>
      </c>
      <c r="D178" s="20" t="s">
        <v>823</v>
      </c>
      <c r="E178" t="s">
        <v>824</v>
      </c>
      <c r="I178" s="3"/>
      <c r="J178" s="3"/>
      <c r="L178" s="6" t="s">
        <v>99</v>
      </c>
      <c r="M178" t="s">
        <v>64</v>
      </c>
      <c r="N178" s="6" t="s">
        <v>65</v>
      </c>
      <c r="O178" s="6">
        <v>2</v>
      </c>
      <c r="P178"/>
      <c r="R178" s="3"/>
      <c r="S178" s="8">
        <v>18.760183009999999</v>
      </c>
      <c r="T178" t="s">
        <v>825</v>
      </c>
      <c r="X178" s="8">
        <v>682.50905999999998</v>
      </c>
      <c r="Y178" t="s">
        <v>88</v>
      </c>
      <c r="AH178" s="8">
        <v>0.61339999999999995</v>
      </c>
      <c r="AI178" t="s">
        <v>826</v>
      </c>
    </row>
    <row r="179" spans="1:36" x14ac:dyDescent="0.2">
      <c r="A179" t="s">
        <v>827</v>
      </c>
      <c r="B179" t="s">
        <v>796</v>
      </c>
      <c r="C179" s="20" t="s">
        <v>828</v>
      </c>
      <c r="D179" s="20" t="s">
        <v>829</v>
      </c>
      <c r="E179" t="s">
        <v>830</v>
      </c>
      <c r="I179" s="3"/>
      <c r="J179" s="3"/>
      <c r="L179" s="6" t="s">
        <v>99</v>
      </c>
      <c r="M179" t="s">
        <v>64</v>
      </c>
      <c r="N179" s="6" t="s">
        <v>65</v>
      </c>
      <c r="O179" s="6">
        <v>3</v>
      </c>
      <c r="P179"/>
      <c r="R179" s="3"/>
      <c r="S179">
        <v>13.712560079999999</v>
      </c>
      <c r="T179" t="s">
        <v>66</v>
      </c>
      <c r="X179">
        <v>2004.3969999999999</v>
      </c>
      <c r="Y179" t="s">
        <v>66</v>
      </c>
      <c r="AH179" s="8">
        <v>0.60333392799999996</v>
      </c>
      <c r="AI179" t="s">
        <v>831</v>
      </c>
    </row>
    <row r="180" spans="1:36" x14ac:dyDescent="0.2">
      <c r="A180" t="s">
        <v>832</v>
      </c>
      <c r="B180" t="s">
        <v>833</v>
      </c>
      <c r="C180" s="20" t="s">
        <v>834</v>
      </c>
      <c r="D180" s="20" t="s">
        <v>835</v>
      </c>
      <c r="E180" t="s">
        <v>836</v>
      </c>
      <c r="I180" s="3"/>
      <c r="J180" s="3"/>
      <c r="L180" s="6" t="s">
        <v>99</v>
      </c>
      <c r="M180" t="s">
        <v>207</v>
      </c>
      <c r="N180" s="6" t="s">
        <v>65</v>
      </c>
      <c r="O180" s="6">
        <v>1</v>
      </c>
      <c r="P180"/>
      <c r="Q180" s="6" t="s">
        <v>74</v>
      </c>
      <c r="R180" s="3"/>
      <c r="S180">
        <v>14.156479989999999</v>
      </c>
      <c r="T180" t="s">
        <v>66</v>
      </c>
      <c r="U180" s="18">
        <v>13.996814076844499</v>
      </c>
      <c r="V180" s="18">
        <v>77.327082168296499</v>
      </c>
      <c r="W180" s="18">
        <v>11</v>
      </c>
      <c r="X180" s="8">
        <v>2.2833000000000001</v>
      </c>
      <c r="Y180" t="s">
        <v>837</v>
      </c>
      <c r="Z180" s="17">
        <v>3.6</v>
      </c>
      <c r="AA180">
        <v>1</v>
      </c>
      <c r="AB180">
        <v>2.63</v>
      </c>
      <c r="AC180" t="s">
        <v>837</v>
      </c>
      <c r="AD180" s="17">
        <v>18.27</v>
      </c>
      <c r="AE180" s="18">
        <v>10</v>
      </c>
      <c r="AF180" s="17">
        <v>6.3363636363636404</v>
      </c>
      <c r="AG180" s="17">
        <v>15.6090909090909</v>
      </c>
      <c r="AH180" s="8">
        <v>0.66304399999999997</v>
      </c>
      <c r="AI180" t="s">
        <v>838</v>
      </c>
      <c r="AJ180" t="s">
        <v>839</v>
      </c>
    </row>
    <row r="181" spans="1:36" x14ac:dyDescent="0.2">
      <c r="A181" t="s">
        <v>840</v>
      </c>
      <c r="B181" t="s">
        <v>841</v>
      </c>
      <c r="C181" s="20" t="s">
        <v>842</v>
      </c>
      <c r="D181" s="20" t="s">
        <v>125</v>
      </c>
      <c r="E181" t="s">
        <v>843</v>
      </c>
      <c r="H181" t="s">
        <v>844</v>
      </c>
      <c r="I181" s="3"/>
      <c r="J181" s="3"/>
      <c r="L181" s="5" t="s">
        <v>44</v>
      </c>
      <c r="M181" t="s">
        <v>54</v>
      </c>
      <c r="N181" s="6" t="s">
        <v>46</v>
      </c>
      <c r="O181" s="6">
        <v>1</v>
      </c>
      <c r="P181"/>
      <c r="R181" s="3"/>
      <c r="X181">
        <v>2.5880000000000001</v>
      </c>
      <c r="Y181" t="s">
        <v>845</v>
      </c>
    </row>
    <row r="182" spans="1:36" x14ac:dyDescent="0.2">
      <c r="A182" t="s">
        <v>846</v>
      </c>
      <c r="B182" t="s">
        <v>841</v>
      </c>
      <c r="C182" s="20" t="s">
        <v>842</v>
      </c>
      <c r="D182" s="20" t="s">
        <v>847</v>
      </c>
      <c r="E182" t="s">
        <v>848</v>
      </c>
      <c r="L182" s="5" t="s">
        <v>44</v>
      </c>
      <c r="M182" t="s">
        <v>54</v>
      </c>
      <c r="N182" s="6" t="s">
        <v>65</v>
      </c>
      <c r="O182" s="6">
        <v>1</v>
      </c>
      <c r="P182"/>
    </row>
    <row r="183" spans="1:36" x14ac:dyDescent="0.2">
      <c r="A183" t="s">
        <v>849</v>
      </c>
      <c r="B183" t="s">
        <v>841</v>
      </c>
      <c r="C183" s="20" t="s">
        <v>850</v>
      </c>
      <c r="D183" s="20" t="s">
        <v>851</v>
      </c>
      <c r="E183" t="s">
        <v>852</v>
      </c>
      <c r="I183" s="3"/>
      <c r="J183" s="3"/>
      <c r="L183" s="5" t="s">
        <v>44</v>
      </c>
      <c r="M183" t="s">
        <v>54</v>
      </c>
      <c r="N183" s="6" t="s">
        <v>65</v>
      </c>
      <c r="O183" s="6">
        <v>2</v>
      </c>
      <c r="P183"/>
      <c r="R183" s="3"/>
    </row>
    <row r="184" spans="1:36" x14ac:dyDescent="0.2">
      <c r="A184" t="s">
        <v>853</v>
      </c>
      <c r="B184" t="s">
        <v>841</v>
      </c>
      <c r="C184" s="20" t="s">
        <v>854</v>
      </c>
      <c r="D184" s="20" t="s">
        <v>187</v>
      </c>
      <c r="E184" t="s">
        <v>188</v>
      </c>
      <c r="H184" t="s">
        <v>855</v>
      </c>
      <c r="I184" s="3"/>
      <c r="J184" s="3"/>
      <c r="L184" s="5" t="s">
        <v>44</v>
      </c>
      <c r="M184" t="s">
        <v>54</v>
      </c>
      <c r="N184" s="6" t="s">
        <v>46</v>
      </c>
      <c r="O184" s="6">
        <v>1</v>
      </c>
      <c r="P184" s="7">
        <v>30</v>
      </c>
      <c r="Q184" s="7"/>
      <c r="R184" s="3"/>
    </row>
    <row r="185" spans="1:36" x14ac:dyDescent="0.2">
      <c r="A185" t="s">
        <v>855</v>
      </c>
      <c r="B185" t="s">
        <v>841</v>
      </c>
      <c r="C185" s="20" t="s">
        <v>854</v>
      </c>
      <c r="D185" s="20" t="s">
        <v>856</v>
      </c>
      <c r="E185" t="s">
        <v>857</v>
      </c>
      <c r="L185" s="5" t="s">
        <v>44</v>
      </c>
      <c r="M185" t="s">
        <v>64</v>
      </c>
      <c r="N185" s="6" t="s">
        <v>55</v>
      </c>
      <c r="O185" s="6">
        <v>1</v>
      </c>
      <c r="P185"/>
      <c r="Q185" s="6" t="s">
        <v>74</v>
      </c>
    </row>
    <row r="186" spans="1:36" x14ac:dyDescent="0.2">
      <c r="A186" t="s">
        <v>858</v>
      </c>
      <c r="B186" t="s">
        <v>841</v>
      </c>
      <c r="C186" s="20" t="s">
        <v>859</v>
      </c>
      <c r="D186" s="20" t="s">
        <v>860</v>
      </c>
      <c r="E186" t="s">
        <v>861</v>
      </c>
      <c r="I186" s="3"/>
      <c r="J186" s="3"/>
      <c r="K186" s="9" t="s">
        <v>862</v>
      </c>
      <c r="L186" s="5" t="s">
        <v>44</v>
      </c>
      <c r="M186" t="s">
        <v>54</v>
      </c>
      <c r="N186" s="6" t="s">
        <v>46</v>
      </c>
      <c r="O186" s="6">
        <v>1</v>
      </c>
      <c r="R186" s="3"/>
      <c r="X186" s="8">
        <v>0.85464973</v>
      </c>
      <c r="Y186" t="s">
        <v>88</v>
      </c>
    </row>
    <row r="187" spans="1:36" x14ac:dyDescent="0.2">
      <c r="A187" t="s">
        <v>863</v>
      </c>
      <c r="B187" t="s">
        <v>841</v>
      </c>
      <c r="C187" s="20" t="s">
        <v>859</v>
      </c>
      <c r="D187" s="20" t="s">
        <v>864</v>
      </c>
      <c r="E187" t="s">
        <v>188</v>
      </c>
      <c r="I187" s="3"/>
      <c r="J187" s="3"/>
      <c r="K187" s="9" t="s">
        <v>73</v>
      </c>
      <c r="L187" s="5" t="s">
        <v>44</v>
      </c>
      <c r="M187" t="s">
        <v>54</v>
      </c>
      <c r="N187" s="6" t="s">
        <v>773</v>
      </c>
      <c r="O187" s="6">
        <v>1</v>
      </c>
      <c r="Q187" s="6" t="s">
        <v>74</v>
      </c>
      <c r="R187" s="3"/>
      <c r="X187" s="8"/>
    </row>
    <row r="188" spans="1:36" x14ac:dyDescent="0.2">
      <c r="A188" t="s">
        <v>865</v>
      </c>
      <c r="B188" s="9" t="s">
        <v>866</v>
      </c>
      <c r="C188" s="66" t="s">
        <v>867</v>
      </c>
      <c r="D188" s="20" t="s">
        <v>868</v>
      </c>
      <c r="E188" t="s">
        <v>869</v>
      </c>
      <c r="H188" s="4"/>
      <c r="I188" s="4"/>
      <c r="J188" s="4"/>
      <c r="K188" s="9" t="s">
        <v>294</v>
      </c>
      <c r="L188" s="5" t="s">
        <v>63</v>
      </c>
      <c r="M188" t="s">
        <v>54</v>
      </c>
      <c r="N188" s="6" t="s">
        <v>46</v>
      </c>
      <c r="O188" s="6">
        <v>1</v>
      </c>
      <c r="R188" s="7"/>
    </row>
    <row r="189" spans="1:36" x14ac:dyDescent="0.2">
      <c r="A189" t="s">
        <v>870</v>
      </c>
      <c r="B189" t="s">
        <v>866</v>
      </c>
      <c r="C189" s="20" t="s">
        <v>867</v>
      </c>
      <c r="D189" s="20" t="s">
        <v>364</v>
      </c>
      <c r="E189" t="s">
        <v>188</v>
      </c>
      <c r="L189" s="5" t="s">
        <v>63</v>
      </c>
      <c r="M189" t="s">
        <v>54</v>
      </c>
      <c r="N189" s="6" t="s">
        <v>46</v>
      </c>
      <c r="O189" s="6">
        <v>1</v>
      </c>
      <c r="R189" s="3"/>
    </row>
    <row r="190" spans="1:36" x14ac:dyDescent="0.2">
      <c r="A190" t="s">
        <v>871</v>
      </c>
      <c r="B190" t="s">
        <v>866</v>
      </c>
      <c r="C190" s="20" t="s">
        <v>872</v>
      </c>
      <c r="D190" s="20" t="s">
        <v>873</v>
      </c>
      <c r="E190" t="s">
        <v>212</v>
      </c>
      <c r="I190" s="3"/>
      <c r="J190" s="3"/>
      <c r="K190" s="9" t="s">
        <v>460</v>
      </c>
      <c r="L190" s="5" t="s">
        <v>117</v>
      </c>
      <c r="M190" t="s">
        <v>64</v>
      </c>
      <c r="N190" s="6" t="s">
        <v>65</v>
      </c>
      <c r="O190" s="6">
        <v>3</v>
      </c>
      <c r="R190" s="3"/>
    </row>
    <row r="191" spans="1:36" x14ac:dyDescent="0.2">
      <c r="A191" t="s">
        <v>874</v>
      </c>
      <c r="B191" t="s">
        <v>866</v>
      </c>
      <c r="C191" s="20" t="s">
        <v>875</v>
      </c>
      <c r="D191" s="20" t="s">
        <v>876</v>
      </c>
      <c r="E191" t="s">
        <v>877</v>
      </c>
      <c r="L191" s="5" t="s">
        <v>117</v>
      </c>
      <c r="M191" t="s">
        <v>54</v>
      </c>
      <c r="N191" s="6" t="s">
        <v>65</v>
      </c>
      <c r="O191" s="6">
        <v>3</v>
      </c>
      <c r="P191"/>
    </row>
    <row r="192" spans="1:36" x14ac:dyDescent="0.2">
      <c r="A192" t="s">
        <v>878</v>
      </c>
      <c r="B192" t="s">
        <v>879</v>
      </c>
      <c r="C192" s="20" t="s">
        <v>880</v>
      </c>
      <c r="D192" s="20" t="s">
        <v>881</v>
      </c>
      <c r="E192" t="s">
        <v>882</v>
      </c>
      <c r="L192" s="5" t="s">
        <v>44</v>
      </c>
      <c r="M192" t="s">
        <v>64</v>
      </c>
      <c r="N192" s="6" t="s">
        <v>46</v>
      </c>
      <c r="O192" s="6">
        <v>1</v>
      </c>
      <c r="P192"/>
    </row>
    <row r="193" spans="1:38" x14ac:dyDescent="0.2">
      <c r="A193" t="s">
        <v>883</v>
      </c>
      <c r="B193" t="s">
        <v>879</v>
      </c>
      <c r="C193" s="20" t="s">
        <v>880</v>
      </c>
      <c r="D193" s="20" t="s">
        <v>884</v>
      </c>
      <c r="E193" t="s">
        <v>728</v>
      </c>
      <c r="I193" s="3"/>
      <c r="J193" s="3"/>
      <c r="K193" s="9" t="s">
        <v>217</v>
      </c>
      <c r="L193" s="5" t="s">
        <v>44</v>
      </c>
      <c r="M193" t="s">
        <v>64</v>
      </c>
      <c r="N193" s="6" t="s">
        <v>46</v>
      </c>
      <c r="O193" s="6">
        <v>1</v>
      </c>
      <c r="R193" s="3"/>
      <c r="S193" s="8">
        <v>28.559933180000002</v>
      </c>
      <c r="T193" t="s">
        <v>375</v>
      </c>
    </row>
    <row r="194" spans="1:38" x14ac:dyDescent="0.2">
      <c r="A194" t="s">
        <v>885</v>
      </c>
      <c r="B194" t="s">
        <v>879</v>
      </c>
      <c r="C194" s="20" t="s">
        <v>880</v>
      </c>
      <c r="D194" s="20" t="s">
        <v>886</v>
      </c>
      <c r="E194" t="s">
        <v>516</v>
      </c>
      <c r="I194" s="3"/>
      <c r="J194" s="3"/>
      <c r="L194" s="5" t="s">
        <v>44</v>
      </c>
      <c r="M194" t="s">
        <v>64</v>
      </c>
      <c r="N194" s="6" t="s">
        <v>46</v>
      </c>
      <c r="O194" s="6">
        <v>1</v>
      </c>
      <c r="R194" s="3"/>
      <c r="S194" s="8">
        <v>28.559933180000002</v>
      </c>
      <c r="T194" t="s">
        <v>88</v>
      </c>
    </row>
    <row r="195" spans="1:38" x14ac:dyDescent="0.2">
      <c r="A195" t="s">
        <v>887</v>
      </c>
      <c r="B195" t="s">
        <v>888</v>
      </c>
      <c r="C195" s="20" t="s">
        <v>889</v>
      </c>
      <c r="D195" s="20" t="s">
        <v>890</v>
      </c>
      <c r="E195" t="s">
        <v>891</v>
      </c>
      <c r="H195" s="4"/>
      <c r="I195" s="4"/>
      <c r="J195" s="4"/>
      <c r="K195" s="4"/>
      <c r="L195" s="5" t="s">
        <v>44</v>
      </c>
      <c r="M195" t="s">
        <v>112</v>
      </c>
      <c r="N195" s="6" t="s">
        <v>208</v>
      </c>
      <c r="O195" s="6">
        <v>1</v>
      </c>
      <c r="R195" s="7"/>
    </row>
    <row r="196" spans="1:38" x14ac:dyDescent="0.2">
      <c r="A196" t="s">
        <v>892</v>
      </c>
      <c r="B196" t="s">
        <v>893</v>
      </c>
      <c r="C196" s="20" t="s">
        <v>894</v>
      </c>
      <c r="D196" s="20" t="s">
        <v>895</v>
      </c>
      <c r="E196" t="s">
        <v>896</v>
      </c>
      <c r="H196" s="4"/>
      <c r="I196" s="4"/>
      <c r="J196" s="9" t="s">
        <v>897</v>
      </c>
      <c r="K196" s="9" t="s">
        <v>898</v>
      </c>
      <c r="L196" s="5" t="s">
        <v>63</v>
      </c>
      <c r="M196" t="s">
        <v>64</v>
      </c>
      <c r="N196" s="6" t="s">
        <v>46</v>
      </c>
      <c r="O196" s="6">
        <v>2</v>
      </c>
      <c r="R196" s="7"/>
    </row>
    <row r="197" spans="1:38" x14ac:dyDescent="0.2">
      <c r="A197" t="s">
        <v>899</v>
      </c>
      <c r="B197" t="s">
        <v>893</v>
      </c>
      <c r="C197" s="20" t="s">
        <v>894</v>
      </c>
      <c r="D197" s="20" t="s">
        <v>900</v>
      </c>
      <c r="E197" t="s">
        <v>896</v>
      </c>
      <c r="L197" s="5" t="s">
        <v>63</v>
      </c>
      <c r="M197" t="s">
        <v>64</v>
      </c>
      <c r="N197" s="6" t="s">
        <v>65</v>
      </c>
      <c r="O197" s="6">
        <v>2</v>
      </c>
      <c r="P197"/>
      <c r="S197">
        <v>14.050800000000001</v>
      </c>
      <c r="T197" t="s">
        <v>901</v>
      </c>
      <c r="X197">
        <v>269.88130000000001</v>
      </c>
      <c r="Y197" t="s">
        <v>66</v>
      </c>
      <c r="AH197" s="8">
        <v>0.22729522199999999</v>
      </c>
      <c r="AI197" t="s">
        <v>66</v>
      </c>
    </row>
    <row r="198" spans="1:38" x14ac:dyDescent="0.2">
      <c r="A198" t="s">
        <v>902</v>
      </c>
      <c r="B198" t="s">
        <v>893</v>
      </c>
      <c r="C198" s="66" t="s">
        <v>894</v>
      </c>
      <c r="D198" s="20" t="s">
        <v>187</v>
      </c>
      <c r="E198" t="s">
        <v>188</v>
      </c>
      <c r="H198" s="4"/>
      <c r="I198" s="4"/>
      <c r="J198" s="4"/>
      <c r="K198" s="9" t="s">
        <v>903</v>
      </c>
      <c r="L198" s="5" t="s">
        <v>63</v>
      </c>
      <c r="M198" t="s">
        <v>207</v>
      </c>
      <c r="N198" s="6" t="s">
        <v>46</v>
      </c>
      <c r="O198" s="6" t="s">
        <v>208</v>
      </c>
      <c r="P198" s="7">
        <v>37</v>
      </c>
      <c r="Q198" s="7"/>
      <c r="R198" s="7"/>
    </row>
    <row r="199" spans="1:38" x14ac:dyDescent="0.2">
      <c r="A199" t="s">
        <v>904</v>
      </c>
      <c r="B199" t="s">
        <v>893</v>
      </c>
      <c r="C199" s="20" t="s">
        <v>905</v>
      </c>
      <c r="D199" s="20" t="s">
        <v>906</v>
      </c>
      <c r="E199" t="s">
        <v>896</v>
      </c>
      <c r="H199" s="4"/>
      <c r="I199" s="4"/>
      <c r="J199" s="4"/>
      <c r="K199" s="4"/>
      <c r="L199" s="5" t="s">
        <v>63</v>
      </c>
      <c r="M199" t="s">
        <v>64</v>
      </c>
      <c r="N199" s="6" t="s">
        <v>46</v>
      </c>
      <c r="O199" s="6">
        <v>1</v>
      </c>
      <c r="R199" s="7"/>
    </row>
    <row r="200" spans="1:38" x14ac:dyDescent="0.2">
      <c r="A200" t="s">
        <v>907</v>
      </c>
      <c r="B200" t="s">
        <v>893</v>
      </c>
      <c r="C200" s="20" t="s">
        <v>908</v>
      </c>
      <c r="D200" s="20" t="s">
        <v>909</v>
      </c>
      <c r="E200" t="s">
        <v>85</v>
      </c>
      <c r="H200" s="4"/>
      <c r="I200" s="4"/>
      <c r="J200" s="4"/>
      <c r="K200" s="4"/>
      <c r="L200" s="5" t="s">
        <v>63</v>
      </c>
      <c r="M200" t="s">
        <v>64</v>
      </c>
      <c r="N200" s="6" t="s">
        <v>46</v>
      </c>
      <c r="O200" s="6">
        <v>1</v>
      </c>
      <c r="Q200" s="6" t="s">
        <v>74</v>
      </c>
      <c r="R200" s="7"/>
      <c r="S200" s="8">
        <v>49.201061206085498</v>
      </c>
      <c r="T200" t="s">
        <v>88</v>
      </c>
      <c r="X200" s="8">
        <v>11.816591573891399</v>
      </c>
      <c r="Y200" t="s">
        <v>88</v>
      </c>
    </row>
    <row r="201" spans="1:38" x14ac:dyDescent="0.2">
      <c r="A201" t="s">
        <v>910</v>
      </c>
      <c r="B201" t="s">
        <v>893</v>
      </c>
      <c r="C201" s="20" t="s">
        <v>911</v>
      </c>
      <c r="D201" s="20" t="s">
        <v>912</v>
      </c>
      <c r="E201" t="s">
        <v>913</v>
      </c>
      <c r="H201" s="4"/>
      <c r="I201" s="4"/>
      <c r="J201" s="4"/>
      <c r="K201" s="9" t="s">
        <v>914</v>
      </c>
      <c r="L201" s="5" t="s">
        <v>63</v>
      </c>
      <c r="M201" t="s">
        <v>64</v>
      </c>
      <c r="N201" s="6" t="s">
        <v>55</v>
      </c>
      <c r="O201" s="6">
        <v>2</v>
      </c>
      <c r="R201" s="7"/>
      <c r="AL201" s="3"/>
    </row>
    <row r="202" spans="1:38" x14ac:dyDescent="0.2">
      <c r="A202" t="s">
        <v>915</v>
      </c>
      <c r="B202" t="s">
        <v>893</v>
      </c>
      <c r="C202" s="20" t="s">
        <v>916</v>
      </c>
      <c r="D202" s="20" t="s">
        <v>917</v>
      </c>
      <c r="E202" t="s">
        <v>918</v>
      </c>
      <c r="H202" s="4"/>
      <c r="I202" s="9" t="s">
        <v>919</v>
      </c>
      <c r="J202" s="4"/>
      <c r="K202" s="9" t="s">
        <v>920</v>
      </c>
      <c r="L202" s="5" t="s">
        <v>63</v>
      </c>
      <c r="M202" t="s">
        <v>45</v>
      </c>
      <c r="N202" s="6" t="s">
        <v>46</v>
      </c>
      <c r="O202" s="6">
        <v>2</v>
      </c>
      <c r="R202" s="7"/>
    </row>
    <row r="203" spans="1:38" x14ac:dyDescent="0.2">
      <c r="A203" t="s">
        <v>921</v>
      </c>
      <c r="B203" t="s">
        <v>893</v>
      </c>
      <c r="C203" s="20" t="s">
        <v>922</v>
      </c>
      <c r="D203" s="20" t="s">
        <v>923</v>
      </c>
      <c r="E203" t="s">
        <v>924</v>
      </c>
      <c r="L203" s="5" t="s">
        <v>63</v>
      </c>
      <c r="M203" t="s">
        <v>64</v>
      </c>
      <c r="N203" s="6" t="s">
        <v>55</v>
      </c>
      <c r="O203" s="6">
        <v>4</v>
      </c>
      <c r="P203"/>
    </row>
    <row r="204" spans="1:38" x14ac:dyDescent="0.2">
      <c r="A204" t="s">
        <v>925</v>
      </c>
      <c r="B204" t="s">
        <v>893</v>
      </c>
      <c r="C204" s="69" t="s">
        <v>922</v>
      </c>
      <c r="D204" s="20" t="s">
        <v>926</v>
      </c>
      <c r="E204" t="s">
        <v>927</v>
      </c>
      <c r="H204" s="4"/>
      <c r="I204" s="4"/>
      <c r="J204" s="4"/>
      <c r="K204" s="9" t="s">
        <v>928</v>
      </c>
      <c r="L204" s="5" t="s">
        <v>63</v>
      </c>
      <c r="M204" t="s">
        <v>64</v>
      </c>
      <c r="N204" s="6" t="s">
        <v>55</v>
      </c>
      <c r="O204" s="6">
        <v>4</v>
      </c>
      <c r="Q204" s="6" t="s">
        <v>74</v>
      </c>
      <c r="R204" s="7"/>
    </row>
    <row r="205" spans="1:38" x14ac:dyDescent="0.2">
      <c r="A205" t="s">
        <v>929</v>
      </c>
      <c r="B205" t="s">
        <v>930</v>
      </c>
      <c r="C205" s="20" t="s">
        <v>931</v>
      </c>
      <c r="D205" s="20" t="s">
        <v>187</v>
      </c>
      <c r="E205" t="s">
        <v>188</v>
      </c>
      <c r="H205" s="4"/>
      <c r="I205" s="4"/>
      <c r="J205" s="4"/>
      <c r="K205" s="9" t="s">
        <v>932</v>
      </c>
      <c r="L205" s="6" t="s">
        <v>933</v>
      </c>
      <c r="M205" t="s">
        <v>207</v>
      </c>
      <c r="N205" s="6" t="s">
        <v>65</v>
      </c>
      <c r="O205" s="6" t="s">
        <v>208</v>
      </c>
      <c r="R205" s="7"/>
    </row>
    <row r="206" spans="1:38" x14ac:dyDescent="0.2">
      <c r="A206" t="s">
        <v>934</v>
      </c>
      <c r="B206" t="s">
        <v>930</v>
      </c>
      <c r="C206" s="20" t="s">
        <v>935</v>
      </c>
      <c r="D206" s="20" t="s">
        <v>187</v>
      </c>
      <c r="E206" t="s">
        <v>188</v>
      </c>
      <c r="H206" s="4"/>
      <c r="I206" s="4"/>
      <c r="J206" s="4"/>
      <c r="K206" s="4"/>
      <c r="L206" s="6" t="s">
        <v>933</v>
      </c>
      <c r="M206" t="s">
        <v>207</v>
      </c>
      <c r="N206" s="6" t="s">
        <v>55</v>
      </c>
      <c r="O206" s="6" t="s">
        <v>208</v>
      </c>
      <c r="R206" s="7"/>
    </row>
    <row r="207" spans="1:38" x14ac:dyDescent="0.2">
      <c r="A207" t="s">
        <v>936</v>
      </c>
      <c r="B207" t="s">
        <v>937</v>
      </c>
      <c r="C207" s="20" t="s">
        <v>938</v>
      </c>
      <c r="D207" s="20" t="s">
        <v>939</v>
      </c>
      <c r="E207" t="s">
        <v>940</v>
      </c>
      <c r="L207" s="5" t="s">
        <v>44</v>
      </c>
      <c r="M207" t="s">
        <v>64</v>
      </c>
      <c r="N207" s="6" t="s">
        <v>65</v>
      </c>
      <c r="O207" s="6">
        <v>1</v>
      </c>
      <c r="P207"/>
    </row>
    <row r="208" spans="1:38" x14ac:dyDescent="0.2">
      <c r="A208" t="s">
        <v>941</v>
      </c>
      <c r="B208" t="s">
        <v>937</v>
      </c>
      <c r="C208" s="20" t="s">
        <v>938</v>
      </c>
      <c r="D208" s="20" t="s">
        <v>942</v>
      </c>
      <c r="E208" t="s">
        <v>940</v>
      </c>
      <c r="L208" s="5" t="s">
        <v>44</v>
      </c>
      <c r="M208" t="s">
        <v>64</v>
      </c>
      <c r="N208" s="6" t="s">
        <v>65</v>
      </c>
      <c r="O208" s="6">
        <v>1</v>
      </c>
      <c r="P208"/>
    </row>
    <row r="209" spans="1:39" x14ac:dyDescent="0.2">
      <c r="A209" t="s">
        <v>943</v>
      </c>
      <c r="B209" t="s">
        <v>937</v>
      </c>
      <c r="C209" s="66" t="s">
        <v>938</v>
      </c>
      <c r="D209" s="20" t="s">
        <v>944</v>
      </c>
      <c r="E209" t="s">
        <v>940</v>
      </c>
      <c r="H209" s="4"/>
      <c r="I209" s="4"/>
      <c r="J209" s="4"/>
      <c r="K209" s="4"/>
      <c r="L209" s="6" t="s">
        <v>44</v>
      </c>
      <c r="M209" t="s">
        <v>64</v>
      </c>
      <c r="N209" s="6" t="s">
        <v>65</v>
      </c>
      <c r="O209" s="6">
        <v>1</v>
      </c>
      <c r="P209" s="7">
        <v>62</v>
      </c>
      <c r="Q209" s="7"/>
      <c r="R209" s="7"/>
    </row>
    <row r="210" spans="1:39" x14ac:dyDescent="0.2">
      <c r="A210" t="s">
        <v>945</v>
      </c>
      <c r="B210" t="s">
        <v>937</v>
      </c>
      <c r="C210" s="20" t="s">
        <v>946</v>
      </c>
      <c r="D210" s="20" t="s">
        <v>947</v>
      </c>
      <c r="E210" t="s">
        <v>948</v>
      </c>
      <c r="H210" s="4"/>
      <c r="I210" s="4"/>
      <c r="J210" s="4"/>
      <c r="K210" s="9" t="s">
        <v>217</v>
      </c>
      <c r="L210" s="5" t="s">
        <v>44</v>
      </c>
      <c r="M210" t="s">
        <v>64</v>
      </c>
      <c r="N210" s="6" t="s">
        <v>55</v>
      </c>
      <c r="O210" s="6">
        <v>1</v>
      </c>
      <c r="Q210" s="6" t="s">
        <v>74</v>
      </c>
      <c r="R210" s="7"/>
      <c r="S210" s="8">
        <v>16.534698157894699</v>
      </c>
      <c r="T210" t="s">
        <v>88</v>
      </c>
      <c r="Z210" s="17">
        <v>0.63</v>
      </c>
      <c r="AA210">
        <v>60</v>
      </c>
      <c r="AC210" t="s">
        <v>47</v>
      </c>
      <c r="AF210" s="8">
        <v>2.33</v>
      </c>
      <c r="AG210" s="8">
        <v>1.34</v>
      </c>
    </row>
    <row r="211" spans="1:39" x14ac:dyDescent="0.2">
      <c r="A211" t="s">
        <v>949</v>
      </c>
      <c r="B211" t="s">
        <v>937</v>
      </c>
      <c r="C211" s="20" t="s">
        <v>946</v>
      </c>
      <c r="D211" s="20" t="s">
        <v>950</v>
      </c>
      <c r="E211" t="s">
        <v>516</v>
      </c>
      <c r="H211" s="4"/>
      <c r="I211" s="4"/>
      <c r="J211" s="4"/>
      <c r="K211" s="9" t="s">
        <v>217</v>
      </c>
      <c r="L211" s="5" t="s">
        <v>44</v>
      </c>
      <c r="M211" t="s">
        <v>64</v>
      </c>
      <c r="N211" s="6" t="s">
        <v>55</v>
      </c>
      <c r="O211" s="6">
        <v>1</v>
      </c>
      <c r="Q211" s="6" t="s">
        <v>74</v>
      </c>
      <c r="R211" s="7"/>
      <c r="S211">
        <v>20.69</v>
      </c>
      <c r="T211" t="s">
        <v>381</v>
      </c>
      <c r="AL211" s="3"/>
    </row>
    <row r="212" spans="1:39" s="31" customFormat="1" x14ac:dyDescent="0.2">
      <c r="A212" t="s">
        <v>951</v>
      </c>
      <c r="B212" t="s">
        <v>937</v>
      </c>
      <c r="C212" s="20" t="s">
        <v>952</v>
      </c>
      <c r="D212" s="20" t="s">
        <v>953</v>
      </c>
      <c r="E212" t="s">
        <v>954</v>
      </c>
      <c r="F212"/>
      <c r="G212"/>
      <c r="H212"/>
      <c r="I212"/>
      <c r="J212"/>
      <c r="K212"/>
      <c r="L212" s="5" t="s">
        <v>44</v>
      </c>
      <c r="M212" t="s">
        <v>64</v>
      </c>
      <c r="N212" s="6" t="s">
        <v>55</v>
      </c>
      <c r="O212" s="6">
        <v>1</v>
      </c>
      <c r="P212"/>
      <c r="Q212" s="6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</row>
    <row r="213" spans="1:39" s="31" customFormat="1" x14ac:dyDescent="0.2">
      <c r="A213" t="s">
        <v>955</v>
      </c>
      <c r="B213" t="s">
        <v>956</v>
      </c>
      <c r="C213" s="20" t="s">
        <v>957</v>
      </c>
      <c r="D213" s="20" t="s">
        <v>187</v>
      </c>
      <c r="E213" t="s">
        <v>188</v>
      </c>
      <c r="F213"/>
      <c r="G213"/>
      <c r="H213" s="4"/>
      <c r="I213" s="4"/>
      <c r="J213" s="4"/>
      <c r="K213" s="4"/>
      <c r="L213" s="5" t="s">
        <v>958</v>
      </c>
      <c r="M213" t="s">
        <v>54</v>
      </c>
      <c r="N213" s="6" t="s">
        <v>46</v>
      </c>
      <c r="O213" s="6">
        <v>1</v>
      </c>
      <c r="P213" s="6"/>
      <c r="Q213" s="6"/>
      <c r="R213" s="7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</row>
    <row r="214" spans="1:39" x14ac:dyDescent="0.2">
      <c r="A214" t="s">
        <v>959</v>
      </c>
      <c r="B214" t="s">
        <v>956</v>
      </c>
      <c r="C214" s="66" t="s">
        <v>957</v>
      </c>
      <c r="D214" s="20" t="s">
        <v>284</v>
      </c>
      <c r="E214" t="s">
        <v>690</v>
      </c>
      <c r="H214" s="4"/>
      <c r="I214" s="4"/>
      <c r="J214" s="4"/>
      <c r="K214" s="4"/>
      <c r="L214" s="5" t="s">
        <v>958</v>
      </c>
      <c r="M214" t="s">
        <v>54</v>
      </c>
      <c r="N214" s="6" t="s">
        <v>46</v>
      </c>
      <c r="O214" s="6">
        <v>1</v>
      </c>
      <c r="R214" s="7"/>
    </row>
    <row r="215" spans="1:39" x14ac:dyDescent="0.2">
      <c r="A215" t="s">
        <v>960</v>
      </c>
      <c r="B215" t="s">
        <v>956</v>
      </c>
      <c r="C215" s="20" t="s">
        <v>961</v>
      </c>
      <c r="D215" s="20" t="s">
        <v>187</v>
      </c>
      <c r="E215" t="s">
        <v>188</v>
      </c>
      <c r="L215" s="5" t="s">
        <v>958</v>
      </c>
      <c r="M215" t="s">
        <v>54</v>
      </c>
      <c r="N215" s="6" t="s">
        <v>46</v>
      </c>
      <c r="O215" s="6">
        <v>1</v>
      </c>
      <c r="P215"/>
    </row>
    <row r="216" spans="1:39" x14ac:dyDescent="0.2">
      <c r="A216" t="s">
        <v>962</v>
      </c>
      <c r="B216" t="s">
        <v>956</v>
      </c>
      <c r="C216" s="20" t="s">
        <v>963</v>
      </c>
      <c r="D216" s="20" t="s">
        <v>964</v>
      </c>
      <c r="E216" t="s">
        <v>965</v>
      </c>
      <c r="H216" s="4"/>
      <c r="I216" s="4"/>
      <c r="J216" s="4"/>
      <c r="K216" s="4"/>
      <c r="L216" s="5" t="s">
        <v>958</v>
      </c>
      <c r="M216" t="s">
        <v>54</v>
      </c>
      <c r="N216" s="6" t="s">
        <v>46</v>
      </c>
      <c r="O216" s="6">
        <v>1</v>
      </c>
      <c r="R216" s="7"/>
    </row>
    <row r="217" spans="1:39" x14ac:dyDescent="0.2">
      <c r="A217" t="s">
        <v>966</v>
      </c>
      <c r="B217" t="s">
        <v>956</v>
      </c>
      <c r="C217" s="20" t="s">
        <v>967</v>
      </c>
      <c r="D217" s="20" t="s">
        <v>187</v>
      </c>
      <c r="E217" t="s">
        <v>188</v>
      </c>
      <c r="H217" s="4"/>
      <c r="I217" s="4"/>
      <c r="J217" s="4"/>
      <c r="K217" s="9">
        <v>2007</v>
      </c>
      <c r="L217" s="5" t="s">
        <v>958</v>
      </c>
      <c r="M217" t="s">
        <v>54</v>
      </c>
      <c r="N217" s="6" t="s">
        <v>46</v>
      </c>
      <c r="O217" s="6">
        <v>1</v>
      </c>
      <c r="R217" s="7">
        <v>483</v>
      </c>
    </row>
    <row r="218" spans="1:39" x14ac:dyDescent="0.2">
      <c r="A218" t="s">
        <v>968</v>
      </c>
      <c r="B218" t="s">
        <v>956</v>
      </c>
      <c r="C218" s="20" t="s">
        <v>969</v>
      </c>
      <c r="D218" s="20" t="s">
        <v>970</v>
      </c>
      <c r="E218" t="s">
        <v>971</v>
      </c>
      <c r="H218" s="4"/>
      <c r="I218" s="4"/>
      <c r="J218" s="4"/>
      <c r="K218" s="4"/>
      <c r="L218" s="5" t="s">
        <v>958</v>
      </c>
      <c r="M218" t="s">
        <v>54</v>
      </c>
      <c r="N218" s="6" t="s">
        <v>46</v>
      </c>
      <c r="O218" s="6">
        <v>1</v>
      </c>
      <c r="R218" s="7"/>
    </row>
    <row r="219" spans="1:39" x14ac:dyDescent="0.2">
      <c r="A219" t="s">
        <v>972</v>
      </c>
      <c r="B219" t="s">
        <v>956</v>
      </c>
      <c r="C219" s="20" t="s">
        <v>969</v>
      </c>
      <c r="D219" s="20" t="s">
        <v>973</v>
      </c>
      <c r="E219" t="s">
        <v>134</v>
      </c>
      <c r="H219" s="4"/>
      <c r="I219" s="4"/>
      <c r="J219" s="4"/>
      <c r="K219" s="9" t="s">
        <v>974</v>
      </c>
      <c r="L219" s="5" t="s">
        <v>958</v>
      </c>
      <c r="M219" t="s">
        <v>54</v>
      </c>
      <c r="N219" s="6" t="s">
        <v>46</v>
      </c>
      <c r="O219" s="6">
        <v>1</v>
      </c>
      <c r="R219" s="7"/>
    </row>
    <row r="220" spans="1:39" x14ac:dyDescent="0.2">
      <c r="A220" t="s">
        <v>975</v>
      </c>
      <c r="B220" t="s">
        <v>956</v>
      </c>
      <c r="C220" s="20" t="s">
        <v>976</v>
      </c>
      <c r="D220" s="20" t="s">
        <v>977</v>
      </c>
      <c r="E220" t="s">
        <v>978</v>
      </c>
      <c r="H220" s="4"/>
      <c r="I220" s="4"/>
      <c r="J220" s="4"/>
      <c r="K220" s="9">
        <v>2007</v>
      </c>
      <c r="L220" s="5" t="s">
        <v>958</v>
      </c>
      <c r="M220" t="s">
        <v>54</v>
      </c>
      <c r="N220" s="6" t="s">
        <v>46</v>
      </c>
      <c r="O220" s="6">
        <v>1</v>
      </c>
      <c r="R220" s="7" t="s">
        <v>979</v>
      </c>
      <c r="AC220" t="s">
        <v>47</v>
      </c>
    </row>
    <row r="221" spans="1:39" x14ac:dyDescent="0.2">
      <c r="A221" t="s">
        <v>980</v>
      </c>
      <c r="B221" t="s">
        <v>981</v>
      </c>
      <c r="C221" s="20" t="s">
        <v>982</v>
      </c>
      <c r="D221" s="20" t="s">
        <v>983</v>
      </c>
      <c r="E221" t="s">
        <v>984</v>
      </c>
      <c r="H221" s="9" t="s">
        <v>985</v>
      </c>
      <c r="I221" s="9" t="s">
        <v>986</v>
      </c>
      <c r="J221" s="4"/>
      <c r="K221" s="9" t="s">
        <v>987</v>
      </c>
      <c r="L221" s="6" t="s">
        <v>988</v>
      </c>
      <c r="M221" t="s">
        <v>207</v>
      </c>
      <c r="N221" s="6" t="s">
        <v>46</v>
      </c>
      <c r="O221" s="6" t="s">
        <v>208</v>
      </c>
      <c r="R221" s="7"/>
      <c r="AL221" s="3"/>
    </row>
    <row r="222" spans="1:39" x14ac:dyDescent="0.2">
      <c r="A222" s="31" t="s">
        <v>989</v>
      </c>
      <c r="B222" s="31" t="s">
        <v>990</v>
      </c>
      <c r="C222" s="69" t="s">
        <v>991</v>
      </c>
      <c r="D222" s="69" t="s">
        <v>772</v>
      </c>
      <c r="E222" s="31"/>
      <c r="F222" s="31">
        <v>1</v>
      </c>
      <c r="G222" s="31"/>
      <c r="H222" s="9"/>
      <c r="I222" s="9"/>
      <c r="J222" s="4"/>
      <c r="K222" s="9"/>
      <c r="L222" s="7" t="s">
        <v>94</v>
      </c>
      <c r="M222" s="31" t="s">
        <v>64</v>
      </c>
      <c r="N222" s="7" t="s">
        <v>65</v>
      </c>
      <c r="O222" s="7" t="s">
        <v>773</v>
      </c>
      <c r="R222" s="7"/>
      <c r="AL222" s="3"/>
    </row>
    <row r="223" spans="1:39" x14ac:dyDescent="0.2">
      <c r="A223" t="s">
        <v>992</v>
      </c>
      <c r="B223" t="s">
        <v>993</v>
      </c>
      <c r="C223" s="20" t="s">
        <v>994</v>
      </c>
      <c r="D223" s="20" t="s">
        <v>995</v>
      </c>
      <c r="E223" t="s">
        <v>996</v>
      </c>
      <c r="L223" s="5" t="s">
        <v>988</v>
      </c>
      <c r="M223" t="s">
        <v>207</v>
      </c>
      <c r="N223" s="6" t="s">
        <v>46</v>
      </c>
      <c r="O223" s="6" t="s">
        <v>208</v>
      </c>
      <c r="P223"/>
    </row>
    <row r="224" spans="1:39" x14ac:dyDescent="0.2">
      <c r="A224" t="s">
        <v>997</v>
      </c>
      <c r="B224" t="s">
        <v>998</v>
      </c>
      <c r="C224" s="20" t="s">
        <v>999</v>
      </c>
      <c r="D224" s="20" t="s">
        <v>1000</v>
      </c>
      <c r="E224" t="s">
        <v>1001</v>
      </c>
      <c r="H224" s="9"/>
      <c r="I224" s="9"/>
      <c r="J224" s="4"/>
      <c r="K224" s="4"/>
      <c r="L224" s="6" t="s">
        <v>99</v>
      </c>
      <c r="M224" t="s">
        <v>64</v>
      </c>
      <c r="N224" s="6" t="s">
        <v>55</v>
      </c>
      <c r="O224" s="6">
        <v>1</v>
      </c>
      <c r="R224" s="7"/>
    </row>
    <row r="225" spans="1:39" x14ac:dyDescent="0.2">
      <c r="A225" t="s">
        <v>1002</v>
      </c>
      <c r="B225" t="s">
        <v>1003</v>
      </c>
      <c r="C225" s="20" t="s">
        <v>1004</v>
      </c>
      <c r="D225" s="20" t="s">
        <v>1005</v>
      </c>
      <c r="E225" t="s">
        <v>1006</v>
      </c>
      <c r="H225" s="9"/>
      <c r="I225" s="9" t="s">
        <v>1007</v>
      </c>
      <c r="J225" s="4"/>
      <c r="K225" s="4"/>
      <c r="L225" s="5" t="s">
        <v>44</v>
      </c>
      <c r="M225" t="s">
        <v>64</v>
      </c>
      <c r="N225" s="6" t="s">
        <v>46</v>
      </c>
      <c r="O225" s="6">
        <v>2</v>
      </c>
      <c r="R225" s="7"/>
    </row>
    <row r="226" spans="1:39" x14ac:dyDescent="0.2">
      <c r="A226" t="s">
        <v>1008</v>
      </c>
      <c r="B226" t="s">
        <v>1009</v>
      </c>
      <c r="C226" s="20" t="s">
        <v>1010</v>
      </c>
      <c r="D226" s="20" t="s">
        <v>58</v>
      </c>
      <c r="E226" t="s">
        <v>59</v>
      </c>
      <c r="F226">
        <v>1</v>
      </c>
      <c r="H226" s="9"/>
      <c r="I226" s="9"/>
      <c r="J226" s="4"/>
      <c r="K226" s="4"/>
      <c r="L226" s="6" t="s">
        <v>99</v>
      </c>
      <c r="M226" t="s">
        <v>64</v>
      </c>
      <c r="N226" s="6" t="s">
        <v>65</v>
      </c>
      <c r="O226" s="6">
        <v>1</v>
      </c>
      <c r="R226" s="7"/>
    </row>
    <row r="227" spans="1:39" x14ac:dyDescent="0.2">
      <c r="A227" t="s">
        <v>1011</v>
      </c>
      <c r="B227" t="s">
        <v>1009</v>
      </c>
      <c r="C227" s="20" t="s">
        <v>1010</v>
      </c>
      <c r="D227" s="20" t="s">
        <v>1012</v>
      </c>
      <c r="E227" t="s">
        <v>59</v>
      </c>
      <c r="I227" s="3"/>
      <c r="J227" s="3"/>
      <c r="L227" s="6" t="s">
        <v>99</v>
      </c>
      <c r="M227" t="s">
        <v>64</v>
      </c>
      <c r="N227" s="6" t="s">
        <v>65</v>
      </c>
      <c r="O227" s="6">
        <v>2</v>
      </c>
      <c r="R227" s="3"/>
    </row>
    <row r="228" spans="1:39" x14ac:dyDescent="0.2">
      <c r="A228" t="s">
        <v>1013</v>
      </c>
      <c r="B228" t="s">
        <v>1014</v>
      </c>
      <c r="C228" s="20" t="s">
        <v>1015</v>
      </c>
      <c r="D228" s="20" t="s">
        <v>1016</v>
      </c>
      <c r="E228" t="s">
        <v>1017</v>
      </c>
      <c r="H228" s="4"/>
      <c r="I228" s="4"/>
      <c r="J228" s="4"/>
      <c r="K228" s="4"/>
      <c r="L228" s="5" t="s">
        <v>279</v>
      </c>
      <c r="M228" t="s">
        <v>64</v>
      </c>
      <c r="N228" s="6" t="s">
        <v>46</v>
      </c>
      <c r="O228" s="6">
        <v>1</v>
      </c>
      <c r="R228" s="7"/>
    </row>
    <row r="229" spans="1:39" x14ac:dyDescent="0.2">
      <c r="A229" t="s">
        <v>1018</v>
      </c>
      <c r="B229" t="s">
        <v>1014</v>
      </c>
      <c r="C229" s="71" t="s">
        <v>1019</v>
      </c>
      <c r="D229" s="20" t="s">
        <v>1020</v>
      </c>
      <c r="E229" t="s">
        <v>1021</v>
      </c>
      <c r="H229" s="32"/>
      <c r="I229" s="32"/>
      <c r="J229" s="32"/>
      <c r="K229" s="33" t="s">
        <v>1022</v>
      </c>
      <c r="L229" s="5" t="s">
        <v>279</v>
      </c>
      <c r="M229" t="s">
        <v>64</v>
      </c>
      <c r="N229" s="6" t="s">
        <v>65</v>
      </c>
      <c r="O229" s="6">
        <v>1</v>
      </c>
      <c r="P229" s="34">
        <v>72</v>
      </c>
      <c r="Q229" s="34"/>
      <c r="R229" s="34"/>
    </row>
    <row r="230" spans="1:39" x14ac:dyDescent="0.2">
      <c r="A230" t="s">
        <v>1023</v>
      </c>
      <c r="B230" t="s">
        <v>1014</v>
      </c>
      <c r="C230" s="20" t="s">
        <v>1024</v>
      </c>
      <c r="D230" s="20" t="s">
        <v>1025</v>
      </c>
      <c r="E230" t="s">
        <v>1026</v>
      </c>
      <c r="L230" s="5" t="s">
        <v>279</v>
      </c>
      <c r="M230" t="s">
        <v>64</v>
      </c>
      <c r="N230" s="6" t="s">
        <v>55</v>
      </c>
      <c r="O230" s="6">
        <v>1</v>
      </c>
      <c r="P230"/>
      <c r="AL230" s="3"/>
    </row>
    <row r="231" spans="1:39" x14ac:dyDescent="0.2">
      <c r="A231" s="48" t="s">
        <v>2785</v>
      </c>
      <c r="B231" s="48" t="s">
        <v>1028</v>
      </c>
      <c r="C231" s="67" t="s">
        <v>1029</v>
      </c>
      <c r="D231" s="67" t="s">
        <v>2786</v>
      </c>
      <c r="E231" s="48" t="s">
        <v>2787</v>
      </c>
      <c r="F231" s="48"/>
      <c r="G231" s="48"/>
      <c r="H231" s="48" t="s">
        <v>1027</v>
      </c>
      <c r="I231" s="48"/>
      <c r="J231" s="48"/>
      <c r="K231" s="48"/>
      <c r="L231" s="65" t="s">
        <v>81</v>
      </c>
      <c r="M231" s="48" t="s">
        <v>64</v>
      </c>
      <c r="N231" s="64" t="s">
        <v>65</v>
      </c>
      <c r="O231" s="64">
        <v>2</v>
      </c>
      <c r="P231"/>
      <c r="S231">
        <v>13.544928759999999</v>
      </c>
      <c r="T231" t="s">
        <v>66</v>
      </c>
      <c r="X231">
        <v>48.570999999999998</v>
      </c>
      <c r="Y231" t="s">
        <v>66</v>
      </c>
      <c r="AH231" s="8">
        <v>0.68879151299999997</v>
      </c>
      <c r="AI231" t="s">
        <v>66</v>
      </c>
    </row>
    <row r="232" spans="1:39" x14ac:dyDescent="0.2">
      <c r="A232" t="s">
        <v>1030</v>
      </c>
      <c r="B232" t="s">
        <v>1031</v>
      </c>
      <c r="C232" s="20" t="s">
        <v>1032</v>
      </c>
      <c r="D232" s="20" t="s">
        <v>1033</v>
      </c>
      <c r="E232" t="s">
        <v>1034</v>
      </c>
      <c r="H232" s="4"/>
      <c r="I232" s="4"/>
      <c r="J232" s="4"/>
      <c r="K232" s="4"/>
      <c r="L232" s="6" t="s">
        <v>94</v>
      </c>
      <c r="M232" t="s">
        <v>64</v>
      </c>
      <c r="N232" s="6" t="s">
        <v>65</v>
      </c>
      <c r="O232" s="6">
        <v>1</v>
      </c>
      <c r="R232" s="7"/>
      <c r="S232">
        <v>10.458532379999999</v>
      </c>
      <c r="T232" t="s">
        <v>1035</v>
      </c>
      <c r="AH232" s="8">
        <v>0.648859819</v>
      </c>
      <c r="AI232" t="s">
        <v>1036</v>
      </c>
    </row>
    <row r="233" spans="1:39" x14ac:dyDescent="0.2">
      <c r="A233" t="s">
        <v>1037</v>
      </c>
      <c r="B233" t="s">
        <v>1038</v>
      </c>
      <c r="C233" s="20" t="s">
        <v>1039</v>
      </c>
      <c r="D233" s="20" t="s">
        <v>1040</v>
      </c>
      <c r="E233" t="s">
        <v>1041</v>
      </c>
      <c r="H233" s="4"/>
      <c r="I233" s="9" t="s">
        <v>1042</v>
      </c>
      <c r="J233" s="9" t="s">
        <v>1043</v>
      </c>
      <c r="K233" s="4"/>
      <c r="L233" s="5" t="s">
        <v>44</v>
      </c>
      <c r="M233" t="s">
        <v>54</v>
      </c>
      <c r="N233" s="6" t="s">
        <v>46</v>
      </c>
      <c r="O233" s="6">
        <v>1</v>
      </c>
      <c r="P233" s="6">
        <v>19</v>
      </c>
      <c r="R233" s="7"/>
      <c r="S233" s="8">
        <v>21.809902820192299</v>
      </c>
      <c r="T233" t="s">
        <v>88</v>
      </c>
      <c r="AD233" s="8">
        <v>0.41</v>
      </c>
      <c r="AE233">
        <v>10</v>
      </c>
      <c r="AF233" s="8">
        <v>0.81</v>
      </c>
      <c r="AG233" s="8">
        <v>1</v>
      </c>
    </row>
    <row r="234" spans="1:39" x14ac:dyDescent="0.2">
      <c r="A234" t="s">
        <v>1044</v>
      </c>
      <c r="B234" t="s">
        <v>1038</v>
      </c>
      <c r="C234" s="20" t="s">
        <v>1039</v>
      </c>
      <c r="D234" s="20" t="s">
        <v>1045</v>
      </c>
      <c r="E234" t="s">
        <v>201</v>
      </c>
      <c r="H234" s="4"/>
      <c r="I234" s="4"/>
      <c r="J234" s="4"/>
      <c r="K234" s="4"/>
      <c r="L234" s="5" t="s">
        <v>81</v>
      </c>
      <c r="M234" t="s">
        <v>54</v>
      </c>
      <c r="N234" s="6" t="s">
        <v>55</v>
      </c>
      <c r="O234" s="6">
        <v>1</v>
      </c>
      <c r="R234" s="7"/>
      <c r="S234" s="3">
        <v>22.343760899999999</v>
      </c>
      <c r="T234" t="s">
        <v>1046</v>
      </c>
      <c r="U234" s="3"/>
      <c r="V234" s="3"/>
      <c r="W234" s="3"/>
      <c r="X234" s="8">
        <v>0.88380684995512104</v>
      </c>
      <c r="Y234" s="3" t="s">
        <v>88</v>
      </c>
      <c r="Z234" s="8"/>
      <c r="AA234" s="3"/>
      <c r="AB234" s="3"/>
      <c r="AC234" s="3"/>
      <c r="AD234" s="8"/>
      <c r="AE234" s="3"/>
      <c r="AF234" s="8"/>
      <c r="AG234" s="8"/>
      <c r="AH234" s="8">
        <v>0.50745200000000001</v>
      </c>
      <c r="AI234" t="s">
        <v>66</v>
      </c>
      <c r="AJ234" s="8"/>
      <c r="AK234" s="3"/>
    </row>
    <row r="235" spans="1:39" x14ac:dyDescent="0.2">
      <c r="A235" t="s">
        <v>1047</v>
      </c>
      <c r="B235" t="s">
        <v>1038</v>
      </c>
      <c r="C235" s="20" t="s">
        <v>1048</v>
      </c>
      <c r="D235" s="20" t="s">
        <v>1049</v>
      </c>
      <c r="E235" t="s">
        <v>1041</v>
      </c>
      <c r="H235" s="4"/>
      <c r="I235" s="4"/>
      <c r="J235" s="4"/>
      <c r="K235" s="9" t="s">
        <v>1050</v>
      </c>
      <c r="L235" s="6" t="s">
        <v>99</v>
      </c>
      <c r="M235" t="s">
        <v>64</v>
      </c>
      <c r="N235" s="6" t="s">
        <v>46</v>
      </c>
      <c r="O235" s="6">
        <v>1</v>
      </c>
      <c r="R235" s="7"/>
      <c r="S235">
        <v>12.753527569999999</v>
      </c>
      <c r="T235" t="s">
        <v>1051</v>
      </c>
      <c r="AC235" t="s">
        <v>47</v>
      </c>
      <c r="AH235" s="8">
        <v>0.39739999999999998</v>
      </c>
      <c r="AI235" t="s">
        <v>1052</v>
      </c>
    </row>
    <row r="236" spans="1:39" x14ac:dyDescent="0.2">
      <c r="A236" t="s">
        <v>1053</v>
      </c>
      <c r="B236" t="s">
        <v>1038</v>
      </c>
      <c r="C236" s="20" t="s">
        <v>1048</v>
      </c>
      <c r="D236" s="20" t="s">
        <v>1054</v>
      </c>
      <c r="E236" t="s">
        <v>690</v>
      </c>
      <c r="H236" s="4"/>
      <c r="I236" s="9" t="s">
        <v>1055</v>
      </c>
      <c r="J236" s="4"/>
      <c r="K236" s="4"/>
      <c r="L236" s="6" t="s">
        <v>99</v>
      </c>
      <c r="M236" t="s">
        <v>64</v>
      </c>
      <c r="N236" s="6" t="s">
        <v>46</v>
      </c>
      <c r="O236" s="6">
        <v>1</v>
      </c>
      <c r="P236" s="6">
        <v>130</v>
      </c>
      <c r="Q236" s="6" t="s">
        <v>74</v>
      </c>
      <c r="R236" s="7"/>
      <c r="S236" s="8">
        <v>10.2004627611557</v>
      </c>
      <c r="T236" t="s">
        <v>1056</v>
      </c>
      <c r="Z236" s="8">
        <v>1.31</v>
      </c>
      <c r="AA236">
        <v>9</v>
      </c>
      <c r="AB236">
        <v>34</v>
      </c>
      <c r="AC236" t="s">
        <v>1057</v>
      </c>
      <c r="AF236" s="8">
        <v>4.8600000000000003</v>
      </c>
      <c r="AG236" s="8">
        <v>4.41</v>
      </c>
      <c r="AH236" s="8">
        <v>0.42833333299999998</v>
      </c>
      <c r="AI236" t="s">
        <v>1058</v>
      </c>
      <c r="AM236" s="3"/>
    </row>
    <row r="237" spans="1:39" x14ac:dyDescent="0.2">
      <c r="A237" t="s">
        <v>1059</v>
      </c>
      <c r="B237" t="s">
        <v>1038</v>
      </c>
      <c r="C237" s="20" t="s">
        <v>1060</v>
      </c>
      <c r="D237" s="20" t="s">
        <v>1061</v>
      </c>
      <c r="E237" t="s">
        <v>1062</v>
      </c>
      <c r="H237" s="4"/>
      <c r="I237" s="4"/>
      <c r="J237" s="4"/>
      <c r="K237" s="4"/>
      <c r="L237" s="6" t="s">
        <v>99</v>
      </c>
      <c r="M237" t="s">
        <v>64</v>
      </c>
      <c r="N237" s="6" t="s">
        <v>46</v>
      </c>
      <c r="O237" s="6">
        <v>1</v>
      </c>
      <c r="Q237" s="6" t="s">
        <v>74</v>
      </c>
      <c r="R237" s="7"/>
      <c r="S237" s="8">
        <v>13</v>
      </c>
      <c r="T237" t="s">
        <v>1063</v>
      </c>
      <c r="U237" s="18">
        <v>16.747590085872201</v>
      </c>
      <c r="V237" s="18">
        <v>62.604787675001702</v>
      </c>
      <c r="W237">
        <v>10</v>
      </c>
      <c r="Z237" s="17">
        <v>10.119999999999999</v>
      </c>
      <c r="AA237">
        <v>10</v>
      </c>
      <c r="AC237" t="s">
        <v>47</v>
      </c>
      <c r="AF237" s="8">
        <v>3.59</v>
      </c>
      <c r="AG237" s="8">
        <v>2.75</v>
      </c>
      <c r="AH237" s="8">
        <v>0.43172650000000001</v>
      </c>
      <c r="AI237" t="s">
        <v>1064</v>
      </c>
      <c r="AJ237" s="8">
        <v>0.36</v>
      </c>
      <c r="AK237">
        <v>5</v>
      </c>
    </row>
    <row r="238" spans="1:39" x14ac:dyDescent="0.2">
      <c r="A238" t="s">
        <v>1065</v>
      </c>
      <c r="B238" t="s">
        <v>1038</v>
      </c>
      <c r="C238" s="20" t="s">
        <v>1060</v>
      </c>
      <c r="D238" s="20" t="s">
        <v>1066</v>
      </c>
      <c r="E238" t="s">
        <v>1067</v>
      </c>
      <c r="I238" s="3"/>
      <c r="J238" s="3"/>
      <c r="L238" s="6" t="s">
        <v>99</v>
      </c>
      <c r="M238" t="s">
        <v>45</v>
      </c>
      <c r="N238" s="6" t="s">
        <v>46</v>
      </c>
      <c r="O238" s="6">
        <v>1</v>
      </c>
      <c r="R238" s="3"/>
      <c r="AM238" s="3"/>
    </row>
    <row r="239" spans="1:39" x14ac:dyDescent="0.2">
      <c r="A239" t="s">
        <v>1068</v>
      </c>
      <c r="B239" t="s">
        <v>1038</v>
      </c>
      <c r="C239" s="20" t="s">
        <v>1060</v>
      </c>
      <c r="D239" s="20" t="s">
        <v>1069</v>
      </c>
      <c r="E239" t="s">
        <v>1070</v>
      </c>
      <c r="H239" s="4"/>
      <c r="I239" s="4"/>
      <c r="J239" s="4"/>
      <c r="K239" s="9" t="s">
        <v>1071</v>
      </c>
      <c r="L239" s="6" t="s">
        <v>99</v>
      </c>
      <c r="M239" t="s">
        <v>45</v>
      </c>
      <c r="N239" s="6" t="s">
        <v>46</v>
      </c>
      <c r="O239" s="6">
        <v>1</v>
      </c>
      <c r="R239" s="7"/>
    </row>
    <row r="240" spans="1:39" x14ac:dyDescent="0.2">
      <c r="A240" t="s">
        <v>1072</v>
      </c>
      <c r="B240" t="s">
        <v>1038</v>
      </c>
      <c r="C240" s="20" t="s">
        <v>1073</v>
      </c>
      <c r="D240" s="20" t="s">
        <v>798</v>
      </c>
      <c r="E240" t="s">
        <v>1074</v>
      </c>
      <c r="H240" s="4"/>
      <c r="I240" s="4"/>
      <c r="J240" s="4"/>
      <c r="K240" s="9" t="s">
        <v>1075</v>
      </c>
      <c r="L240" s="6" t="s">
        <v>99</v>
      </c>
      <c r="M240" t="s">
        <v>64</v>
      </c>
      <c r="N240" s="6" t="s">
        <v>65</v>
      </c>
      <c r="O240" s="6">
        <v>1</v>
      </c>
      <c r="P240"/>
      <c r="R240" s="7"/>
      <c r="AH240" s="8">
        <v>0.4</v>
      </c>
      <c r="AI240" t="s">
        <v>330</v>
      </c>
    </row>
    <row r="241" spans="1:39" x14ac:dyDescent="0.2">
      <c r="A241" t="s">
        <v>1076</v>
      </c>
      <c r="B241" t="s">
        <v>1038</v>
      </c>
      <c r="C241" s="20" t="s">
        <v>1073</v>
      </c>
      <c r="D241" s="20" t="s">
        <v>1077</v>
      </c>
      <c r="E241" t="s">
        <v>1078</v>
      </c>
      <c r="I241" s="3"/>
      <c r="J241" s="3"/>
      <c r="L241" s="6" t="s">
        <v>99</v>
      </c>
      <c r="M241" t="s">
        <v>64</v>
      </c>
      <c r="N241" s="6" t="s">
        <v>65</v>
      </c>
      <c r="O241" s="6">
        <v>1</v>
      </c>
      <c r="P241"/>
      <c r="R241" s="3"/>
      <c r="S241">
        <v>13.94089797</v>
      </c>
      <c r="T241" t="s">
        <v>66</v>
      </c>
      <c r="X241">
        <v>31.428000000000001</v>
      </c>
      <c r="Y241" t="s">
        <v>66</v>
      </c>
      <c r="AH241" s="8">
        <v>0.43772820000000001</v>
      </c>
      <c r="AI241" t="s">
        <v>1079</v>
      </c>
    </row>
    <row r="242" spans="1:39" x14ac:dyDescent="0.2">
      <c r="A242" t="s">
        <v>1080</v>
      </c>
      <c r="B242" t="s">
        <v>1038</v>
      </c>
      <c r="C242" s="20" t="s">
        <v>1073</v>
      </c>
      <c r="D242" s="20" t="s">
        <v>1081</v>
      </c>
      <c r="E242" t="s">
        <v>1082</v>
      </c>
      <c r="F242">
        <v>1</v>
      </c>
      <c r="I242" s="3"/>
      <c r="J242" s="3"/>
      <c r="L242" s="6" t="s">
        <v>99</v>
      </c>
      <c r="M242" t="s">
        <v>64</v>
      </c>
      <c r="N242" s="6" t="s">
        <v>65</v>
      </c>
      <c r="O242" s="6">
        <v>1</v>
      </c>
      <c r="P242"/>
      <c r="R242" s="3"/>
      <c r="AH242" s="8"/>
    </row>
    <row r="243" spans="1:39" x14ac:dyDescent="0.2">
      <c r="A243" t="s">
        <v>1083</v>
      </c>
      <c r="B243" t="s">
        <v>1084</v>
      </c>
      <c r="C243" s="20" t="s">
        <v>1085</v>
      </c>
      <c r="D243" s="20" t="s">
        <v>1086</v>
      </c>
      <c r="E243" t="s">
        <v>1087</v>
      </c>
      <c r="I243" s="3"/>
      <c r="J243" s="3"/>
      <c r="K243" t="s">
        <v>73</v>
      </c>
      <c r="L243" s="5" t="s">
        <v>81</v>
      </c>
      <c r="M243" t="s">
        <v>45</v>
      </c>
      <c r="N243" s="6" t="s">
        <v>46</v>
      </c>
      <c r="O243" s="6">
        <v>2</v>
      </c>
      <c r="P243"/>
      <c r="Q243" s="6" t="s">
        <v>74</v>
      </c>
      <c r="R243" s="3"/>
      <c r="AH243" s="8"/>
    </row>
    <row r="244" spans="1:39" s="3" customFormat="1" x14ac:dyDescent="0.2">
      <c r="A244" t="s">
        <v>1088</v>
      </c>
      <c r="B244" t="s">
        <v>1084</v>
      </c>
      <c r="C244" s="20" t="s">
        <v>1089</v>
      </c>
      <c r="D244" s="20" t="s">
        <v>1090</v>
      </c>
      <c r="E244" t="s">
        <v>1091</v>
      </c>
      <c r="F244"/>
      <c r="G244"/>
      <c r="H244"/>
      <c r="K244" t="s">
        <v>73</v>
      </c>
      <c r="L244" s="5" t="s">
        <v>117</v>
      </c>
      <c r="M244" t="s">
        <v>45</v>
      </c>
      <c r="N244" s="6" t="s">
        <v>65</v>
      </c>
      <c r="O244" s="6">
        <v>3</v>
      </c>
      <c r="P244"/>
      <c r="Q244" s="6" t="s">
        <v>74</v>
      </c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 spans="1:39" x14ac:dyDescent="0.2">
      <c r="A245" t="s">
        <v>1092</v>
      </c>
      <c r="B245" t="s">
        <v>1084</v>
      </c>
      <c r="C245" s="20" t="s">
        <v>1093</v>
      </c>
      <c r="D245" s="20" t="s">
        <v>1094</v>
      </c>
      <c r="E245" t="s">
        <v>487</v>
      </c>
      <c r="H245" s="4"/>
      <c r="I245" s="4"/>
      <c r="J245" s="4"/>
      <c r="K245" s="9" t="s">
        <v>1095</v>
      </c>
      <c r="L245" s="5" t="s">
        <v>63</v>
      </c>
      <c r="M245" t="s">
        <v>45</v>
      </c>
      <c r="N245" s="6" t="s">
        <v>46</v>
      </c>
      <c r="O245" s="6">
        <v>2</v>
      </c>
      <c r="P245"/>
      <c r="R245" s="7"/>
      <c r="S245" s="8">
        <v>78.5725411734375</v>
      </c>
      <c r="T245" t="s">
        <v>88</v>
      </c>
      <c r="X245" s="8">
        <v>20.651722757900799</v>
      </c>
      <c r="Y245" t="s">
        <v>88</v>
      </c>
    </row>
    <row r="246" spans="1:39" s="3" customFormat="1" x14ac:dyDescent="0.2">
      <c r="A246" t="s">
        <v>1096</v>
      </c>
      <c r="B246" t="s">
        <v>1084</v>
      </c>
      <c r="C246" s="20" t="s">
        <v>1097</v>
      </c>
      <c r="D246" s="20" t="s">
        <v>1098</v>
      </c>
      <c r="E246" t="s">
        <v>1099</v>
      </c>
      <c r="F246"/>
      <c r="G246"/>
      <c r="H246"/>
      <c r="K246"/>
      <c r="L246" s="6" t="s">
        <v>94</v>
      </c>
      <c r="M246" t="s">
        <v>64</v>
      </c>
      <c r="N246" s="6" t="s">
        <v>65</v>
      </c>
      <c r="O246" s="6">
        <v>2</v>
      </c>
      <c r="P246"/>
      <c r="Q246" s="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 spans="1:39" x14ac:dyDescent="0.2">
      <c r="A247" t="s">
        <v>1100</v>
      </c>
      <c r="B247" t="s">
        <v>1084</v>
      </c>
      <c r="C247" s="20" t="s">
        <v>1097</v>
      </c>
      <c r="D247" s="20" t="s">
        <v>1101</v>
      </c>
      <c r="E247" t="s">
        <v>1102</v>
      </c>
      <c r="I247" s="3"/>
      <c r="J247" s="3"/>
      <c r="L247" s="6" t="s">
        <v>94</v>
      </c>
      <c r="M247" t="s">
        <v>54</v>
      </c>
      <c r="N247" s="6" t="s">
        <v>65</v>
      </c>
      <c r="O247" s="6">
        <v>2</v>
      </c>
      <c r="P247"/>
      <c r="R247" s="3"/>
    </row>
    <row r="248" spans="1:39" x14ac:dyDescent="0.2">
      <c r="A248" t="s">
        <v>1103</v>
      </c>
      <c r="B248" t="s">
        <v>1084</v>
      </c>
      <c r="C248" s="20" t="s">
        <v>1104</v>
      </c>
      <c r="D248" s="20" t="s">
        <v>1105</v>
      </c>
      <c r="E248" t="s">
        <v>85</v>
      </c>
      <c r="L248" s="5" t="s">
        <v>44</v>
      </c>
      <c r="M248" t="s">
        <v>54</v>
      </c>
      <c r="N248" s="6" t="s">
        <v>46</v>
      </c>
      <c r="O248" s="6">
        <v>1</v>
      </c>
      <c r="P248"/>
      <c r="Q248" s="6" t="s">
        <v>74</v>
      </c>
    </row>
    <row r="249" spans="1:39" x14ac:dyDescent="0.2">
      <c r="A249" s="9" t="s">
        <v>1106</v>
      </c>
      <c r="B249" s="9" t="s">
        <v>1084</v>
      </c>
      <c r="C249" s="66" t="s">
        <v>1107</v>
      </c>
      <c r="D249" s="20" t="s">
        <v>1108</v>
      </c>
      <c r="E249" t="s">
        <v>1109</v>
      </c>
      <c r="H249" s="9" t="s">
        <v>1110</v>
      </c>
      <c r="I249" s="4"/>
      <c r="J249" s="9" t="s">
        <v>1111</v>
      </c>
      <c r="K249" s="9" t="s">
        <v>1112</v>
      </c>
      <c r="L249" s="7" t="s">
        <v>44</v>
      </c>
      <c r="M249" t="s">
        <v>112</v>
      </c>
      <c r="N249" s="6" t="s">
        <v>46</v>
      </c>
      <c r="O249" s="6">
        <v>1</v>
      </c>
      <c r="P249" s="7">
        <v>64</v>
      </c>
      <c r="Q249" s="7"/>
      <c r="R249" s="7"/>
      <c r="AC249" t="s">
        <v>47</v>
      </c>
      <c r="AD249" s="17">
        <v>4.29</v>
      </c>
      <c r="AE249" s="18">
        <v>10</v>
      </c>
      <c r="AF249" s="17">
        <v>4.12</v>
      </c>
      <c r="AG249" s="17">
        <v>2.23</v>
      </c>
    </row>
    <row r="250" spans="1:39" x14ac:dyDescent="0.2">
      <c r="A250" s="9" t="s">
        <v>1113</v>
      </c>
      <c r="B250" s="9" t="s">
        <v>1084</v>
      </c>
      <c r="C250" s="66" t="s">
        <v>1107</v>
      </c>
      <c r="D250" s="20" t="s">
        <v>1114</v>
      </c>
      <c r="E250" t="s">
        <v>1109</v>
      </c>
      <c r="H250" s="4"/>
      <c r="I250" s="12"/>
      <c r="J250" s="9"/>
      <c r="K250" s="9" t="s">
        <v>1115</v>
      </c>
      <c r="L250" s="7" t="s">
        <v>44</v>
      </c>
      <c r="M250" t="s">
        <v>112</v>
      </c>
      <c r="N250" s="6" t="s">
        <v>46</v>
      </c>
      <c r="O250" s="6">
        <v>1</v>
      </c>
      <c r="R250" s="7"/>
      <c r="X250" s="8"/>
      <c r="AD250" s="17">
        <v>12.577</v>
      </c>
      <c r="AE250">
        <v>10</v>
      </c>
      <c r="AF250" s="8">
        <v>6</v>
      </c>
      <c r="AG250" s="8">
        <v>3.38</v>
      </c>
    </row>
    <row r="251" spans="1:39" x14ac:dyDescent="0.2">
      <c r="A251" s="9" t="s">
        <v>1116</v>
      </c>
      <c r="B251" s="9" t="s">
        <v>1084</v>
      </c>
      <c r="C251" s="66" t="s">
        <v>1107</v>
      </c>
      <c r="D251" s="20" t="s">
        <v>1117</v>
      </c>
      <c r="E251" t="s">
        <v>1118</v>
      </c>
      <c r="H251" s="4"/>
      <c r="I251" s="9" t="s">
        <v>1119</v>
      </c>
      <c r="J251" s="9"/>
      <c r="K251" s="9" t="s">
        <v>1120</v>
      </c>
      <c r="L251" s="7" t="s">
        <v>44</v>
      </c>
      <c r="M251" t="s">
        <v>112</v>
      </c>
      <c r="N251" s="6" t="s">
        <v>46</v>
      </c>
      <c r="O251" s="6">
        <v>1</v>
      </c>
      <c r="Q251" s="6" t="s">
        <v>74</v>
      </c>
      <c r="R251" s="7">
        <v>460</v>
      </c>
      <c r="S251">
        <v>19.960079839999999</v>
      </c>
      <c r="T251" t="s">
        <v>1121</v>
      </c>
      <c r="X251" s="8">
        <v>4.468</v>
      </c>
      <c r="Y251" t="s">
        <v>1122</v>
      </c>
      <c r="Z251" s="17">
        <v>7.4</v>
      </c>
      <c r="AA251">
        <v>1</v>
      </c>
      <c r="AF251" s="8">
        <v>3.4</v>
      </c>
      <c r="AG251" s="8">
        <v>1.6</v>
      </c>
    </row>
    <row r="252" spans="1:39" x14ac:dyDescent="0.2">
      <c r="A252" t="s">
        <v>1123</v>
      </c>
      <c r="B252" t="s">
        <v>1084</v>
      </c>
      <c r="C252" s="20" t="s">
        <v>1107</v>
      </c>
      <c r="D252" s="20" t="s">
        <v>364</v>
      </c>
      <c r="E252" t="s">
        <v>188</v>
      </c>
      <c r="H252" s="35"/>
      <c r="I252" s="35"/>
      <c r="J252" s="36"/>
      <c r="K252" s="36" t="s">
        <v>1124</v>
      </c>
      <c r="L252" s="5" t="s">
        <v>44</v>
      </c>
      <c r="M252" t="s">
        <v>112</v>
      </c>
      <c r="N252" s="6" t="s">
        <v>46</v>
      </c>
      <c r="O252" s="6">
        <v>1</v>
      </c>
      <c r="R252" s="37"/>
    </row>
    <row r="253" spans="1:39" x14ac:dyDescent="0.2">
      <c r="A253" s="9" t="s">
        <v>1125</v>
      </c>
      <c r="B253" s="9" t="s">
        <v>1084</v>
      </c>
      <c r="C253" s="66" t="s">
        <v>1107</v>
      </c>
      <c r="D253" s="20" t="s">
        <v>1126</v>
      </c>
      <c r="E253" t="s">
        <v>1109</v>
      </c>
      <c r="H253" s="4"/>
      <c r="I253" s="4"/>
      <c r="J253" s="9" t="s">
        <v>1127</v>
      </c>
      <c r="K253" s="9" t="s">
        <v>1128</v>
      </c>
      <c r="L253" s="7" t="s">
        <v>44</v>
      </c>
      <c r="M253" t="s">
        <v>112</v>
      </c>
      <c r="N253" s="6" t="s">
        <v>46</v>
      </c>
      <c r="O253" s="6">
        <v>1</v>
      </c>
      <c r="R253" s="7"/>
      <c r="X253">
        <v>2.2570000000000001</v>
      </c>
      <c r="Y253" t="s">
        <v>845</v>
      </c>
    </row>
    <row r="254" spans="1:39" x14ac:dyDescent="0.2">
      <c r="A254" t="s">
        <v>1129</v>
      </c>
      <c r="B254" t="s">
        <v>1084</v>
      </c>
      <c r="C254" s="20" t="s">
        <v>1130</v>
      </c>
      <c r="D254" s="20" t="s">
        <v>1131</v>
      </c>
      <c r="E254" t="s">
        <v>1132</v>
      </c>
      <c r="H254" t="s">
        <v>1133</v>
      </c>
      <c r="I254" t="s">
        <v>1134</v>
      </c>
      <c r="K254" t="s">
        <v>73</v>
      </c>
      <c r="L254" s="5" t="s">
        <v>94</v>
      </c>
      <c r="M254" t="s">
        <v>207</v>
      </c>
      <c r="N254" s="6" t="s">
        <v>65</v>
      </c>
      <c r="O254" s="6">
        <v>2</v>
      </c>
      <c r="P254"/>
    </row>
    <row r="255" spans="1:39" x14ac:dyDescent="0.2">
      <c r="A255" s="9" t="s">
        <v>1135</v>
      </c>
      <c r="B255" t="s">
        <v>1084</v>
      </c>
      <c r="C255" s="20" t="s">
        <v>1136</v>
      </c>
      <c r="D255" s="20" t="s">
        <v>1137</v>
      </c>
      <c r="E255" t="s">
        <v>1138</v>
      </c>
      <c r="F255">
        <v>1</v>
      </c>
      <c r="L255" s="6" t="s">
        <v>94</v>
      </c>
      <c r="M255" t="s">
        <v>54</v>
      </c>
      <c r="N255" s="6" t="s">
        <v>65</v>
      </c>
      <c r="O255" s="6">
        <v>4</v>
      </c>
      <c r="P255"/>
    </row>
    <row r="256" spans="1:39" x14ac:dyDescent="0.2">
      <c r="A256" t="s">
        <v>1139</v>
      </c>
      <c r="B256" t="s">
        <v>1084</v>
      </c>
      <c r="C256" s="20" t="s">
        <v>1140</v>
      </c>
      <c r="D256" s="20" t="s">
        <v>1141</v>
      </c>
      <c r="E256" t="s">
        <v>1142</v>
      </c>
      <c r="H256" s="4"/>
      <c r="I256" s="4"/>
      <c r="J256" s="4"/>
      <c r="K256" s="4"/>
      <c r="L256" s="6" t="s">
        <v>94</v>
      </c>
      <c r="M256" t="s">
        <v>207</v>
      </c>
      <c r="N256" s="6" t="s">
        <v>46</v>
      </c>
      <c r="O256" s="6">
        <v>2</v>
      </c>
      <c r="R256" s="7"/>
      <c r="AH256" s="8">
        <v>0.3</v>
      </c>
      <c r="AI256" t="s">
        <v>667</v>
      </c>
      <c r="AL256" s="3"/>
    </row>
    <row r="257" spans="1:37" ht="16" x14ac:dyDescent="0.2">
      <c r="A257" t="s">
        <v>1143</v>
      </c>
      <c r="B257" t="s">
        <v>1084</v>
      </c>
      <c r="C257" s="72" t="s">
        <v>1140</v>
      </c>
      <c r="D257" s="20" t="s">
        <v>1144</v>
      </c>
      <c r="E257" t="s">
        <v>1145</v>
      </c>
      <c r="H257" s="9"/>
      <c r="I257" s="9"/>
      <c r="J257" s="9"/>
      <c r="K257" s="9"/>
      <c r="L257" s="6" t="s">
        <v>94</v>
      </c>
      <c r="M257" t="s">
        <v>54</v>
      </c>
      <c r="N257" s="6" t="s">
        <v>46</v>
      </c>
      <c r="O257" s="6">
        <v>2</v>
      </c>
      <c r="R257" s="7"/>
      <c r="S257" s="8"/>
      <c r="X257" s="8"/>
    </row>
    <row r="258" spans="1:37" x14ac:dyDescent="0.2">
      <c r="A258" t="s">
        <v>1146</v>
      </c>
      <c r="B258" t="s">
        <v>1084</v>
      </c>
      <c r="C258" s="20" t="s">
        <v>1140</v>
      </c>
      <c r="D258" s="20" t="s">
        <v>1147</v>
      </c>
      <c r="E258" t="s">
        <v>59</v>
      </c>
      <c r="H258" s="4"/>
      <c r="I258" s="4"/>
      <c r="J258" s="4"/>
      <c r="K258" s="4"/>
      <c r="L258" s="6" t="s">
        <v>94</v>
      </c>
      <c r="M258" t="s">
        <v>54</v>
      </c>
      <c r="N258" s="6" t="s">
        <v>65</v>
      </c>
      <c r="O258" s="6">
        <v>2</v>
      </c>
      <c r="Q258" s="6" t="s">
        <v>74</v>
      </c>
      <c r="R258" s="7"/>
      <c r="Z258" s="17">
        <v>264.2</v>
      </c>
      <c r="AA258">
        <v>1</v>
      </c>
      <c r="AF258" s="8">
        <v>10.199999999999999</v>
      </c>
      <c r="AG258" s="8">
        <v>6.6</v>
      </c>
    </row>
    <row r="259" spans="1:37" x14ac:dyDescent="0.2">
      <c r="A259" t="s">
        <v>1148</v>
      </c>
      <c r="B259" t="s">
        <v>1084</v>
      </c>
      <c r="C259" s="20" t="s">
        <v>1140</v>
      </c>
      <c r="D259" s="20" t="s">
        <v>1149</v>
      </c>
      <c r="E259" t="s">
        <v>1150</v>
      </c>
      <c r="H259" s="4"/>
      <c r="I259" s="4"/>
      <c r="J259" s="4"/>
      <c r="K259" s="4"/>
      <c r="L259" s="6" t="s">
        <v>99</v>
      </c>
      <c r="M259" t="s">
        <v>207</v>
      </c>
      <c r="N259" s="6" t="s">
        <v>46</v>
      </c>
      <c r="O259" s="6">
        <v>2</v>
      </c>
      <c r="Q259" s="6" t="s">
        <v>74</v>
      </c>
      <c r="R259" s="7"/>
      <c r="U259" s="18">
        <v>17.409508513949699</v>
      </c>
      <c r="V259" s="18">
        <v>61.812893401724203</v>
      </c>
      <c r="W259">
        <v>10</v>
      </c>
      <c r="AD259" s="17">
        <v>257.8</v>
      </c>
      <c r="AE259">
        <v>10</v>
      </c>
      <c r="AF259" s="8">
        <v>14.3</v>
      </c>
      <c r="AG259" s="8">
        <v>6.44</v>
      </c>
      <c r="AJ259" s="8">
        <v>0.25600000000000001</v>
      </c>
      <c r="AK259">
        <v>10</v>
      </c>
    </row>
    <row r="260" spans="1:37" x14ac:dyDescent="0.2">
      <c r="A260" t="s">
        <v>1151</v>
      </c>
      <c r="B260" t="s">
        <v>1084</v>
      </c>
      <c r="C260" s="20" t="s">
        <v>1152</v>
      </c>
      <c r="D260" s="20" t="s">
        <v>220</v>
      </c>
      <c r="E260" t="s">
        <v>1153</v>
      </c>
      <c r="L260" s="5" t="s">
        <v>81</v>
      </c>
      <c r="M260" t="s">
        <v>54</v>
      </c>
      <c r="N260" s="6" t="s">
        <v>46</v>
      </c>
      <c r="O260" s="6">
        <v>2</v>
      </c>
      <c r="P260"/>
    </row>
    <row r="261" spans="1:37" x14ac:dyDescent="0.2">
      <c r="A261" t="s">
        <v>1154</v>
      </c>
      <c r="B261" t="s">
        <v>1084</v>
      </c>
      <c r="C261" s="20" t="s">
        <v>1155</v>
      </c>
      <c r="D261" s="20" t="s">
        <v>1156</v>
      </c>
      <c r="E261" t="s">
        <v>1157</v>
      </c>
      <c r="L261" s="5" t="s">
        <v>117</v>
      </c>
      <c r="M261" t="s">
        <v>54</v>
      </c>
      <c r="N261" s="6" t="s">
        <v>65</v>
      </c>
      <c r="O261" s="6">
        <v>3</v>
      </c>
      <c r="P261"/>
    </row>
    <row r="262" spans="1:37" x14ac:dyDescent="0.2">
      <c r="A262" t="s">
        <v>1158</v>
      </c>
      <c r="B262" t="s">
        <v>1084</v>
      </c>
      <c r="C262" s="20" t="s">
        <v>1159</v>
      </c>
      <c r="D262" s="20" t="s">
        <v>1160</v>
      </c>
      <c r="E262" t="s">
        <v>487</v>
      </c>
      <c r="I262" s="3"/>
      <c r="J262" s="3"/>
      <c r="L262" s="6" t="s">
        <v>99</v>
      </c>
      <c r="M262" t="s">
        <v>64</v>
      </c>
      <c r="N262" s="6" t="s">
        <v>65</v>
      </c>
      <c r="O262" s="6">
        <v>3</v>
      </c>
      <c r="Q262" s="6" t="s">
        <v>74</v>
      </c>
      <c r="R262" s="3"/>
      <c r="U262" s="18">
        <v>9.7125251352190691</v>
      </c>
      <c r="V262" s="18">
        <v>107.65114064127199</v>
      </c>
      <c r="W262">
        <v>9</v>
      </c>
      <c r="Z262">
        <v>1163.691</v>
      </c>
      <c r="AA262">
        <v>11</v>
      </c>
      <c r="AD262" s="17">
        <v>1312.2333333333299</v>
      </c>
      <c r="AE262" s="18">
        <v>3</v>
      </c>
      <c r="AF262" s="17">
        <v>26.233333333333299</v>
      </c>
      <c r="AG262" s="17">
        <v>11.5666666666667</v>
      </c>
      <c r="AJ262" s="17">
        <v>0.60037990592827395</v>
      </c>
      <c r="AK262">
        <v>5</v>
      </c>
    </row>
    <row r="263" spans="1:37" x14ac:dyDescent="0.2">
      <c r="A263" t="s">
        <v>1161</v>
      </c>
      <c r="B263" t="s">
        <v>1084</v>
      </c>
      <c r="C263" s="20" t="s">
        <v>1159</v>
      </c>
      <c r="D263" s="20" t="s">
        <v>1162</v>
      </c>
      <c r="E263" t="s">
        <v>374</v>
      </c>
      <c r="I263" s="3"/>
      <c r="J263" s="3"/>
      <c r="L263" s="6" t="s">
        <v>99</v>
      </c>
      <c r="M263" t="s">
        <v>64</v>
      </c>
      <c r="N263" s="6" t="s">
        <v>46</v>
      </c>
      <c r="O263" s="6">
        <v>3</v>
      </c>
      <c r="Q263" s="6" t="s">
        <v>74</v>
      </c>
      <c r="R263" s="3"/>
      <c r="S263">
        <f>(12.928+6.118)/2</f>
        <v>9.5229999999999997</v>
      </c>
      <c r="T263" t="s">
        <v>1163</v>
      </c>
      <c r="U263" s="18">
        <v>9.5491912622978106</v>
      </c>
      <c r="V263" s="18">
        <v>104.72091013070499</v>
      </c>
      <c r="W263">
        <v>1</v>
      </c>
      <c r="AD263" s="17">
        <v>1122.5</v>
      </c>
      <c r="AE263">
        <v>4</v>
      </c>
      <c r="AF263" s="8">
        <v>21.8</v>
      </c>
      <c r="AG263" s="8">
        <v>11.025</v>
      </c>
      <c r="AJ263" s="8">
        <v>0.34399999999999997</v>
      </c>
      <c r="AK263">
        <v>10</v>
      </c>
    </row>
    <row r="264" spans="1:37" x14ac:dyDescent="0.2">
      <c r="A264" t="s">
        <v>1164</v>
      </c>
      <c r="B264" t="s">
        <v>1084</v>
      </c>
      <c r="C264" s="20" t="s">
        <v>1159</v>
      </c>
      <c r="D264" s="20" t="s">
        <v>1165</v>
      </c>
      <c r="E264" t="s">
        <v>1166</v>
      </c>
      <c r="I264" s="3"/>
      <c r="J264" s="3"/>
      <c r="L264" s="6" t="s">
        <v>99</v>
      </c>
      <c r="M264" t="s">
        <v>64</v>
      </c>
      <c r="N264" s="6" t="s">
        <v>65</v>
      </c>
      <c r="O264" s="6">
        <v>3</v>
      </c>
      <c r="R264" s="3"/>
      <c r="S264">
        <v>14.13803156</v>
      </c>
      <c r="T264" t="s">
        <v>66</v>
      </c>
      <c r="X264">
        <v>198.89500000000001</v>
      </c>
      <c r="Y264" t="s">
        <v>66</v>
      </c>
      <c r="AH264" s="8">
        <v>0.68879999999999997</v>
      </c>
      <c r="AI264" t="s">
        <v>1167</v>
      </c>
    </row>
    <row r="265" spans="1:37" x14ac:dyDescent="0.2">
      <c r="A265" t="s">
        <v>1168</v>
      </c>
      <c r="B265" t="s">
        <v>1084</v>
      </c>
      <c r="C265" s="20" t="s">
        <v>1159</v>
      </c>
      <c r="D265" s="20" t="s">
        <v>1169</v>
      </c>
      <c r="E265" t="s">
        <v>1166</v>
      </c>
      <c r="I265" s="3"/>
      <c r="J265" s="3"/>
      <c r="L265" s="6" t="s">
        <v>99</v>
      </c>
      <c r="M265" t="s">
        <v>64</v>
      </c>
      <c r="N265" s="6" t="s">
        <v>55</v>
      </c>
      <c r="O265" s="6">
        <v>2</v>
      </c>
      <c r="Q265" s="6" t="s">
        <v>74</v>
      </c>
      <c r="R265" s="3"/>
      <c r="S265">
        <v>12.44260309</v>
      </c>
      <c r="T265" t="s">
        <v>66</v>
      </c>
      <c r="X265">
        <v>397.90750000000003</v>
      </c>
      <c r="Y265" t="s">
        <v>66</v>
      </c>
      <c r="AF265">
        <v>15.042999999999999</v>
      </c>
      <c r="AG265">
        <v>5.9429999999999996</v>
      </c>
      <c r="AH265" s="8">
        <v>0.56000000000000005</v>
      </c>
      <c r="AI265" t="s">
        <v>1170</v>
      </c>
    </row>
    <row r="266" spans="1:37" x14ac:dyDescent="0.2">
      <c r="A266" t="s">
        <v>1171</v>
      </c>
      <c r="B266" t="s">
        <v>1084</v>
      </c>
      <c r="C266" s="20" t="s">
        <v>1159</v>
      </c>
      <c r="D266" s="20" t="s">
        <v>1172</v>
      </c>
      <c r="E266" t="s">
        <v>1173</v>
      </c>
      <c r="I266" s="3"/>
      <c r="J266" s="3"/>
      <c r="L266" s="6" t="s">
        <v>99</v>
      </c>
      <c r="M266" t="s">
        <v>64</v>
      </c>
      <c r="N266" s="6" t="s">
        <v>65</v>
      </c>
      <c r="O266" s="6">
        <v>3</v>
      </c>
      <c r="R266" s="3"/>
      <c r="U266" s="18"/>
      <c r="V266" s="18"/>
      <c r="AD266" s="17"/>
      <c r="AF266" s="8"/>
      <c r="AG266" s="8"/>
      <c r="AJ266" s="8"/>
    </row>
    <row r="267" spans="1:37" ht="18" customHeight="1" x14ac:dyDescent="0.2">
      <c r="A267" t="s">
        <v>1174</v>
      </c>
      <c r="B267" t="s">
        <v>1084</v>
      </c>
      <c r="C267" s="20" t="s">
        <v>1159</v>
      </c>
      <c r="D267" s="20" t="s">
        <v>1175</v>
      </c>
      <c r="E267" t="s">
        <v>1166</v>
      </c>
      <c r="I267" s="3"/>
      <c r="J267" s="3"/>
      <c r="L267" s="6" t="s">
        <v>99</v>
      </c>
      <c r="M267" t="s">
        <v>64</v>
      </c>
      <c r="N267" s="6" t="s">
        <v>65</v>
      </c>
      <c r="O267" s="6">
        <v>3</v>
      </c>
      <c r="R267" s="3"/>
      <c r="S267">
        <v>17.226759130000001</v>
      </c>
      <c r="T267" t="s">
        <v>66</v>
      </c>
      <c r="X267">
        <v>530.05499999999995</v>
      </c>
      <c r="Y267" t="s">
        <v>66</v>
      </c>
      <c r="AH267" s="8">
        <v>0.61693119399999996</v>
      </c>
      <c r="AI267" t="s">
        <v>66</v>
      </c>
      <c r="AJ267" s="14"/>
      <c r="AK267" s="3"/>
    </row>
    <row r="268" spans="1:37" x14ac:dyDescent="0.2">
      <c r="A268" t="s">
        <v>1176</v>
      </c>
      <c r="B268" t="s">
        <v>1084</v>
      </c>
      <c r="C268" s="20" t="s">
        <v>1159</v>
      </c>
      <c r="D268" s="20" t="s">
        <v>1177</v>
      </c>
      <c r="E268" t="s">
        <v>59</v>
      </c>
      <c r="I268" s="3"/>
      <c r="J268" s="3"/>
      <c r="L268" s="6" t="s">
        <v>94</v>
      </c>
      <c r="M268" t="s">
        <v>64</v>
      </c>
      <c r="N268" s="6" t="s">
        <v>65</v>
      </c>
      <c r="O268" s="6">
        <v>2</v>
      </c>
      <c r="Q268" s="6" t="s">
        <v>74</v>
      </c>
      <c r="R268" s="3"/>
      <c r="AJ268" s="14"/>
      <c r="AK268" s="3"/>
    </row>
    <row r="269" spans="1:37" x14ac:dyDescent="0.2">
      <c r="A269" t="s">
        <v>1178</v>
      </c>
      <c r="B269" t="s">
        <v>1084</v>
      </c>
      <c r="C269" s="20" t="s">
        <v>1159</v>
      </c>
      <c r="D269" s="20" t="s">
        <v>1179</v>
      </c>
      <c r="E269" t="s">
        <v>1180</v>
      </c>
      <c r="F269">
        <v>1</v>
      </c>
      <c r="I269" s="3"/>
      <c r="J269" s="3"/>
      <c r="L269" s="6" t="s">
        <v>99</v>
      </c>
      <c r="M269" t="s">
        <v>64</v>
      </c>
      <c r="N269" s="6" t="s">
        <v>55</v>
      </c>
      <c r="O269" s="6">
        <v>3</v>
      </c>
      <c r="R269" s="3"/>
      <c r="AJ269" s="14"/>
      <c r="AK269" s="3"/>
    </row>
    <row r="270" spans="1:37" x14ac:dyDescent="0.2">
      <c r="A270" s="48" t="s">
        <v>2788</v>
      </c>
      <c r="B270" s="48" t="s">
        <v>1084</v>
      </c>
      <c r="C270" s="67" t="s">
        <v>1159</v>
      </c>
      <c r="D270" s="67" t="s">
        <v>2789</v>
      </c>
      <c r="E270" s="48" t="s">
        <v>1182</v>
      </c>
      <c r="F270" s="48"/>
      <c r="G270" s="48"/>
      <c r="H270" s="82" t="s">
        <v>2754</v>
      </c>
      <c r="I270" s="82" t="s">
        <v>1181</v>
      </c>
      <c r="J270" s="61"/>
      <c r="K270" s="48" t="s">
        <v>1183</v>
      </c>
      <c r="L270" s="64" t="s">
        <v>99</v>
      </c>
      <c r="M270" s="48" t="s">
        <v>64</v>
      </c>
      <c r="N270" s="64" t="s">
        <v>65</v>
      </c>
      <c r="O270" s="64" t="s">
        <v>208</v>
      </c>
      <c r="R270" s="3"/>
    </row>
    <row r="271" spans="1:37" x14ac:dyDescent="0.2">
      <c r="A271" t="s">
        <v>1184</v>
      </c>
      <c r="B271" t="s">
        <v>1084</v>
      </c>
      <c r="C271" s="20" t="s">
        <v>1159</v>
      </c>
      <c r="D271" s="20" t="s">
        <v>364</v>
      </c>
      <c r="I271" s="3"/>
      <c r="J271" s="3"/>
      <c r="L271" s="6" t="s">
        <v>99</v>
      </c>
      <c r="M271" t="s">
        <v>64</v>
      </c>
      <c r="N271" s="6" t="s">
        <v>773</v>
      </c>
      <c r="O271" s="6">
        <v>2</v>
      </c>
      <c r="R271" s="3"/>
      <c r="AJ271" s="14"/>
      <c r="AK271" s="3"/>
    </row>
    <row r="272" spans="1:37" x14ac:dyDescent="0.2">
      <c r="A272" t="s">
        <v>1185</v>
      </c>
      <c r="B272" t="s">
        <v>1084</v>
      </c>
      <c r="C272" s="20" t="s">
        <v>1186</v>
      </c>
      <c r="D272" s="20" t="s">
        <v>1187</v>
      </c>
      <c r="E272" t="s">
        <v>1188</v>
      </c>
      <c r="F272">
        <v>1</v>
      </c>
      <c r="I272" s="3"/>
      <c r="J272" s="3"/>
      <c r="L272" s="6" t="s">
        <v>99</v>
      </c>
      <c r="M272" t="s">
        <v>207</v>
      </c>
      <c r="N272" s="6" t="s">
        <v>65</v>
      </c>
      <c r="O272" s="6">
        <v>2</v>
      </c>
      <c r="R272" s="3"/>
      <c r="AJ272" s="14"/>
      <c r="AK272" s="3"/>
    </row>
    <row r="273" spans="1:38" x14ac:dyDescent="0.2">
      <c r="A273" t="s">
        <v>1189</v>
      </c>
      <c r="B273" t="s">
        <v>1084</v>
      </c>
      <c r="C273" s="20" t="s">
        <v>1186</v>
      </c>
      <c r="D273" s="20" t="s">
        <v>1190</v>
      </c>
      <c r="E273" t="s">
        <v>1191</v>
      </c>
      <c r="I273" s="3"/>
      <c r="J273" s="3"/>
      <c r="L273" s="6" t="s">
        <v>99</v>
      </c>
      <c r="M273" t="s">
        <v>207</v>
      </c>
      <c r="N273" s="6" t="s">
        <v>65</v>
      </c>
      <c r="O273" s="6">
        <v>2</v>
      </c>
      <c r="R273" s="3"/>
      <c r="AJ273" s="14"/>
      <c r="AK273" s="3"/>
    </row>
    <row r="274" spans="1:38" x14ac:dyDescent="0.2">
      <c r="A274" t="s">
        <v>1192</v>
      </c>
      <c r="B274" t="s">
        <v>1084</v>
      </c>
      <c r="C274" s="20" t="s">
        <v>1186</v>
      </c>
      <c r="D274" s="20" t="s">
        <v>364</v>
      </c>
      <c r="I274" s="3"/>
      <c r="J274" s="3"/>
      <c r="L274" s="6" t="s">
        <v>99</v>
      </c>
      <c r="M274" t="s">
        <v>64</v>
      </c>
      <c r="N274" s="6" t="s">
        <v>65</v>
      </c>
      <c r="O274" s="6">
        <v>3</v>
      </c>
      <c r="R274" s="3"/>
      <c r="AJ274" s="14"/>
      <c r="AK274" s="3"/>
    </row>
    <row r="275" spans="1:38" x14ac:dyDescent="0.2">
      <c r="A275" t="s">
        <v>1193</v>
      </c>
      <c r="B275" t="s">
        <v>1084</v>
      </c>
      <c r="C275" s="20" t="s">
        <v>1194</v>
      </c>
      <c r="D275" s="20" t="s">
        <v>1195</v>
      </c>
      <c r="E275" t="s">
        <v>1196</v>
      </c>
      <c r="F275">
        <v>1</v>
      </c>
      <c r="I275" s="3"/>
      <c r="J275" s="3"/>
      <c r="L275" s="6" t="s">
        <v>99</v>
      </c>
      <c r="M275" t="s">
        <v>207</v>
      </c>
      <c r="N275" s="6" t="s">
        <v>65</v>
      </c>
      <c r="O275" s="6">
        <v>3</v>
      </c>
      <c r="R275" s="3"/>
      <c r="AJ275" s="14"/>
      <c r="AK275" s="3"/>
    </row>
    <row r="276" spans="1:38" x14ac:dyDescent="0.2">
      <c r="A276" t="s">
        <v>1197</v>
      </c>
      <c r="B276" t="s">
        <v>1084</v>
      </c>
      <c r="C276" s="20" t="s">
        <v>1194</v>
      </c>
      <c r="D276" s="20" t="s">
        <v>1198</v>
      </c>
      <c r="E276" t="s">
        <v>1199</v>
      </c>
      <c r="H276" s="4"/>
      <c r="I276" s="9" t="s">
        <v>1194</v>
      </c>
      <c r="J276" s="4"/>
      <c r="K276" s="9" t="s">
        <v>1200</v>
      </c>
      <c r="L276" s="6" t="s">
        <v>117</v>
      </c>
      <c r="M276" t="s">
        <v>207</v>
      </c>
      <c r="N276" s="6" t="s">
        <v>65</v>
      </c>
      <c r="O276" s="6">
        <v>3</v>
      </c>
      <c r="R276" s="7">
        <v>563</v>
      </c>
    </row>
    <row r="277" spans="1:38" x14ac:dyDescent="0.2">
      <c r="A277" t="s">
        <v>1201</v>
      </c>
      <c r="B277" t="s">
        <v>1084</v>
      </c>
      <c r="C277" s="20" t="s">
        <v>1194</v>
      </c>
      <c r="D277" s="20" t="s">
        <v>1202</v>
      </c>
      <c r="E277" t="s">
        <v>1203</v>
      </c>
      <c r="H277" s="4"/>
      <c r="I277" s="9" t="s">
        <v>1194</v>
      </c>
      <c r="J277" s="4"/>
      <c r="K277" s="4"/>
      <c r="L277" s="5" t="s">
        <v>117</v>
      </c>
      <c r="M277" t="s">
        <v>207</v>
      </c>
      <c r="N277" s="6" t="s">
        <v>65</v>
      </c>
      <c r="O277" s="6">
        <v>3</v>
      </c>
      <c r="R277" s="7"/>
      <c r="S277">
        <v>21.973192699999998</v>
      </c>
      <c r="T277" t="s">
        <v>1204</v>
      </c>
    </row>
    <row r="278" spans="1:38" x14ac:dyDescent="0.2">
      <c r="A278" t="s">
        <v>1205</v>
      </c>
      <c r="B278" t="s">
        <v>1084</v>
      </c>
      <c r="C278" s="20" t="s">
        <v>1194</v>
      </c>
      <c r="D278" s="20" t="s">
        <v>364</v>
      </c>
      <c r="E278" t="s">
        <v>1206</v>
      </c>
      <c r="I278" s="3"/>
      <c r="J278" s="3"/>
      <c r="L278" s="6" t="s">
        <v>117</v>
      </c>
      <c r="M278" t="s">
        <v>207</v>
      </c>
      <c r="N278" s="6" t="s">
        <v>65</v>
      </c>
      <c r="O278" s="6">
        <v>3</v>
      </c>
      <c r="R278" s="3"/>
    </row>
    <row r="279" spans="1:38" x14ac:dyDescent="0.2">
      <c r="A279" t="s">
        <v>1207</v>
      </c>
      <c r="B279" t="s">
        <v>1084</v>
      </c>
      <c r="C279" s="20" t="s">
        <v>1208</v>
      </c>
      <c r="D279" s="20" t="s">
        <v>1209</v>
      </c>
      <c r="E279" t="s">
        <v>85</v>
      </c>
      <c r="L279" s="5" t="s">
        <v>44</v>
      </c>
      <c r="M279" t="s">
        <v>112</v>
      </c>
      <c r="N279" s="6" t="s">
        <v>46</v>
      </c>
      <c r="O279" s="6">
        <v>1</v>
      </c>
      <c r="R279" s="7"/>
      <c r="X279" s="8">
        <v>3.0794625808996199</v>
      </c>
      <c r="Y279" t="s">
        <v>88</v>
      </c>
    </row>
    <row r="280" spans="1:38" x14ac:dyDescent="0.2">
      <c r="A280" t="s">
        <v>1210</v>
      </c>
      <c r="B280" s="25" t="s">
        <v>1084</v>
      </c>
      <c r="C280" s="20" t="s">
        <v>1211</v>
      </c>
      <c r="D280" s="20" t="s">
        <v>829</v>
      </c>
      <c r="E280" t="s">
        <v>1212</v>
      </c>
      <c r="H280" s="4"/>
      <c r="I280" s="4"/>
      <c r="J280" s="4"/>
      <c r="K280" s="4"/>
      <c r="L280" s="5" t="s">
        <v>117</v>
      </c>
      <c r="M280" t="s">
        <v>54</v>
      </c>
      <c r="N280" s="6" t="s">
        <v>65</v>
      </c>
      <c r="O280" s="6">
        <v>3</v>
      </c>
      <c r="R280" s="7"/>
      <c r="S280" s="8"/>
      <c r="T280" s="3"/>
      <c r="U280" s="3"/>
      <c r="V280" s="3"/>
      <c r="W280" s="3"/>
      <c r="X280" s="8"/>
      <c r="Y280" s="3"/>
      <c r="Z280" s="8"/>
      <c r="AA280" s="3"/>
      <c r="AB280" s="3"/>
      <c r="AC280" s="3"/>
      <c r="AD280" s="8"/>
      <c r="AE280" s="3"/>
      <c r="AF280" s="8"/>
      <c r="AG280" s="8"/>
      <c r="AH280" s="8"/>
      <c r="AI280" s="3"/>
      <c r="AJ280" s="8"/>
      <c r="AK280" s="3"/>
    </row>
    <row r="281" spans="1:38" x14ac:dyDescent="0.2">
      <c r="A281" t="s">
        <v>1213</v>
      </c>
      <c r="B281" t="s">
        <v>1084</v>
      </c>
      <c r="C281" s="20" t="s">
        <v>1211</v>
      </c>
      <c r="D281" s="20" t="s">
        <v>1214</v>
      </c>
      <c r="E281" t="s">
        <v>1215</v>
      </c>
      <c r="H281" s="4"/>
      <c r="I281" s="4"/>
      <c r="J281" s="4"/>
      <c r="K281" s="9" t="s">
        <v>1216</v>
      </c>
      <c r="L281" s="5" t="s">
        <v>117</v>
      </c>
      <c r="M281" t="s">
        <v>54</v>
      </c>
      <c r="N281" s="6" t="s">
        <v>65</v>
      </c>
      <c r="O281" s="6">
        <v>3</v>
      </c>
      <c r="R281" s="3"/>
      <c r="AL281" s="3"/>
    </row>
    <row r="282" spans="1:38" x14ac:dyDescent="0.2">
      <c r="A282" t="s">
        <v>1217</v>
      </c>
      <c r="B282" t="s">
        <v>1084</v>
      </c>
      <c r="C282" s="20" t="s">
        <v>1211</v>
      </c>
      <c r="D282" s="20" t="s">
        <v>364</v>
      </c>
      <c r="H282" s="4"/>
      <c r="I282" s="4"/>
      <c r="J282" s="4"/>
      <c r="K282" s="9"/>
      <c r="L282" s="5" t="s">
        <v>117</v>
      </c>
      <c r="M282" t="s">
        <v>54</v>
      </c>
      <c r="N282" s="6" t="s">
        <v>65</v>
      </c>
      <c r="O282" s="6">
        <v>3</v>
      </c>
      <c r="R282" s="3"/>
      <c r="AL282" s="3"/>
    </row>
    <row r="283" spans="1:38" x14ac:dyDescent="0.2">
      <c r="A283" t="s">
        <v>1218</v>
      </c>
      <c r="B283" t="s">
        <v>1084</v>
      </c>
      <c r="C283" s="20" t="s">
        <v>1219</v>
      </c>
      <c r="D283" s="20" t="s">
        <v>1220</v>
      </c>
      <c r="E283" t="s">
        <v>1221</v>
      </c>
      <c r="L283" s="6" t="s">
        <v>99</v>
      </c>
      <c r="M283" t="s">
        <v>207</v>
      </c>
      <c r="N283" s="6" t="s">
        <v>65</v>
      </c>
      <c r="O283" s="6">
        <v>2</v>
      </c>
      <c r="P283"/>
      <c r="S283">
        <v>17.510348879999999</v>
      </c>
      <c r="T283" t="s">
        <v>66</v>
      </c>
      <c r="X283">
        <v>208.273</v>
      </c>
      <c r="Y283" t="s">
        <v>66</v>
      </c>
      <c r="AH283" s="8">
        <v>0.74</v>
      </c>
      <c r="AI283" t="s">
        <v>66</v>
      </c>
    </row>
    <row r="284" spans="1:38" x14ac:dyDescent="0.2">
      <c r="A284" t="s">
        <v>1222</v>
      </c>
      <c r="B284" t="s">
        <v>1084</v>
      </c>
      <c r="C284" s="20" t="s">
        <v>1223</v>
      </c>
      <c r="D284" s="20" t="s">
        <v>1224</v>
      </c>
      <c r="E284" t="s">
        <v>59</v>
      </c>
      <c r="L284" s="5" t="s">
        <v>117</v>
      </c>
      <c r="M284" t="s">
        <v>54</v>
      </c>
      <c r="N284" s="6" t="s">
        <v>55</v>
      </c>
      <c r="O284" s="6">
        <v>1</v>
      </c>
      <c r="P284"/>
      <c r="Q284" s="6" t="s">
        <v>74</v>
      </c>
      <c r="Z284" s="17">
        <v>49.49</v>
      </c>
      <c r="AA284">
        <v>10</v>
      </c>
      <c r="AF284" s="8">
        <v>5.65</v>
      </c>
      <c r="AG284" s="8">
        <v>4.1500000000000004</v>
      </c>
    </row>
    <row r="285" spans="1:38" x14ac:dyDescent="0.2">
      <c r="A285" t="s">
        <v>1225</v>
      </c>
      <c r="B285" t="s">
        <v>1084</v>
      </c>
      <c r="C285" s="20" t="s">
        <v>1226</v>
      </c>
      <c r="D285" s="20" t="s">
        <v>1227</v>
      </c>
      <c r="E285" t="s">
        <v>1228</v>
      </c>
      <c r="H285" s="4"/>
      <c r="I285" s="9" t="s">
        <v>1229</v>
      </c>
      <c r="J285" s="4"/>
      <c r="K285" s="9"/>
      <c r="L285" s="6" t="s">
        <v>99</v>
      </c>
      <c r="M285" t="s">
        <v>64</v>
      </c>
      <c r="N285" s="6" t="s">
        <v>46</v>
      </c>
      <c r="O285" s="6">
        <v>1</v>
      </c>
      <c r="P285" s="6">
        <v>145</v>
      </c>
      <c r="Q285" s="6" t="s">
        <v>74</v>
      </c>
      <c r="R285" s="7"/>
      <c r="U285" s="18">
        <v>22.541955505126001</v>
      </c>
      <c r="V285" s="18">
        <v>46.499464704182301</v>
      </c>
      <c r="W285" s="18">
        <v>10</v>
      </c>
      <c r="Z285" s="17">
        <v>12.725</v>
      </c>
      <c r="AA285">
        <v>4</v>
      </c>
      <c r="AC285" t="s">
        <v>47</v>
      </c>
      <c r="AD285" s="17">
        <v>26.985714285714302</v>
      </c>
      <c r="AE285" s="18">
        <v>7</v>
      </c>
      <c r="AF285" s="17">
        <v>5.4818181818181797</v>
      </c>
      <c r="AG285" s="17">
        <v>3.0727272727272701</v>
      </c>
      <c r="AH285" s="8">
        <v>0.56100000000000005</v>
      </c>
      <c r="AI285" t="s">
        <v>1230</v>
      </c>
      <c r="AJ285" s="17">
        <v>0.480336672114621</v>
      </c>
      <c r="AK285">
        <v>5</v>
      </c>
    </row>
    <row r="286" spans="1:38" x14ac:dyDescent="0.2">
      <c r="A286" t="s">
        <v>2757</v>
      </c>
      <c r="B286" t="s">
        <v>1084</v>
      </c>
      <c r="C286" s="20" t="s">
        <v>1226</v>
      </c>
      <c r="D286" s="20" t="s">
        <v>1231</v>
      </c>
      <c r="E286" t="s">
        <v>1232</v>
      </c>
      <c r="H286" s="4"/>
      <c r="I286" s="9"/>
      <c r="J286" s="4"/>
      <c r="K286" s="9"/>
      <c r="L286" s="6" t="s">
        <v>99</v>
      </c>
      <c r="M286" t="s">
        <v>64</v>
      </c>
      <c r="N286" s="6" t="s">
        <v>46</v>
      </c>
      <c r="O286" s="6">
        <v>1</v>
      </c>
      <c r="R286" s="7"/>
      <c r="U286" s="18"/>
      <c r="V286" s="18"/>
      <c r="W286" s="18"/>
      <c r="Z286" s="17"/>
      <c r="AD286" s="17"/>
      <c r="AE286" s="18"/>
      <c r="AF286" s="17"/>
      <c r="AG286" s="17"/>
      <c r="AH286" s="8"/>
      <c r="AJ286" s="17"/>
    </row>
    <row r="287" spans="1:38" x14ac:dyDescent="0.2">
      <c r="A287" t="s">
        <v>1233</v>
      </c>
      <c r="B287" t="s">
        <v>1084</v>
      </c>
      <c r="C287" s="20" t="s">
        <v>1234</v>
      </c>
      <c r="D287" s="20" t="s">
        <v>1235</v>
      </c>
      <c r="E287" t="s">
        <v>604</v>
      </c>
      <c r="I287" s="3"/>
      <c r="J287" s="3"/>
      <c r="K287" s="9"/>
      <c r="L287" s="5" t="s">
        <v>63</v>
      </c>
      <c r="M287" t="s">
        <v>54</v>
      </c>
      <c r="N287" s="6" t="s">
        <v>46</v>
      </c>
      <c r="O287" s="6">
        <v>1</v>
      </c>
      <c r="P287"/>
      <c r="Q287" s="6" t="s">
        <v>74</v>
      </c>
      <c r="R287" s="3"/>
    </row>
    <row r="288" spans="1:38" x14ac:dyDescent="0.2">
      <c r="A288" t="s">
        <v>1236</v>
      </c>
      <c r="B288" t="s">
        <v>1084</v>
      </c>
      <c r="C288" s="20" t="s">
        <v>1237</v>
      </c>
      <c r="D288" s="20" t="s">
        <v>1238</v>
      </c>
      <c r="E288" t="s">
        <v>1239</v>
      </c>
      <c r="H288" s="4"/>
      <c r="I288" s="4"/>
      <c r="J288" s="4"/>
      <c r="K288" s="9" t="s">
        <v>1240</v>
      </c>
      <c r="L288" s="5" t="s">
        <v>63</v>
      </c>
      <c r="M288" t="s">
        <v>45</v>
      </c>
      <c r="N288" s="6" t="s">
        <v>46</v>
      </c>
      <c r="O288" s="6">
        <v>2</v>
      </c>
      <c r="R288" s="7"/>
    </row>
    <row r="289" spans="1:38" x14ac:dyDescent="0.2">
      <c r="A289" t="s">
        <v>1241</v>
      </c>
      <c r="B289" t="s">
        <v>1242</v>
      </c>
      <c r="C289" s="20" t="s">
        <v>1243</v>
      </c>
      <c r="D289" s="20" t="s">
        <v>1244</v>
      </c>
      <c r="E289" t="s">
        <v>1245</v>
      </c>
      <c r="H289" t="s">
        <v>1246</v>
      </c>
      <c r="L289" s="6" t="s">
        <v>99</v>
      </c>
      <c r="M289" t="s">
        <v>64</v>
      </c>
      <c r="N289" s="6" t="s">
        <v>65</v>
      </c>
      <c r="O289" s="6">
        <v>4</v>
      </c>
      <c r="P289"/>
    </row>
    <row r="290" spans="1:38" x14ac:dyDescent="0.2">
      <c r="A290" t="s">
        <v>1247</v>
      </c>
      <c r="B290" t="s">
        <v>1242</v>
      </c>
      <c r="C290" s="20" t="s">
        <v>1243</v>
      </c>
      <c r="D290" s="20" t="s">
        <v>1248</v>
      </c>
      <c r="E290" t="s">
        <v>1249</v>
      </c>
      <c r="H290" s="4"/>
      <c r="I290" s="4"/>
      <c r="J290" s="4"/>
      <c r="K290" s="9"/>
      <c r="L290" s="6" t="s">
        <v>99</v>
      </c>
      <c r="M290" t="s">
        <v>64</v>
      </c>
      <c r="N290" s="6" t="s">
        <v>65</v>
      </c>
      <c r="O290" s="6">
        <v>4</v>
      </c>
      <c r="R290" s="7"/>
    </row>
    <row r="291" spans="1:38" x14ac:dyDescent="0.2">
      <c r="A291" t="s">
        <v>1250</v>
      </c>
      <c r="B291" t="s">
        <v>1242</v>
      </c>
      <c r="C291" s="20" t="s">
        <v>1243</v>
      </c>
      <c r="D291" s="20" t="s">
        <v>1251</v>
      </c>
      <c r="E291" t="s">
        <v>1252</v>
      </c>
      <c r="H291" s="9" t="s">
        <v>1253</v>
      </c>
      <c r="I291" s="30" t="s">
        <v>1254</v>
      </c>
      <c r="J291" s="4"/>
      <c r="K291" s="9" t="s">
        <v>1255</v>
      </c>
      <c r="L291" s="6" t="s">
        <v>99</v>
      </c>
      <c r="M291" t="s">
        <v>64</v>
      </c>
      <c r="N291" s="6" t="s">
        <v>65</v>
      </c>
      <c r="O291" s="6">
        <v>4</v>
      </c>
      <c r="R291" s="7"/>
      <c r="AH291" s="8">
        <f>(0.67+0.67+0.675)/3</f>
        <v>0.67166666666666675</v>
      </c>
      <c r="AI291" t="s">
        <v>667</v>
      </c>
    </row>
    <row r="292" spans="1:38" x14ac:dyDescent="0.2">
      <c r="A292" t="s">
        <v>1256</v>
      </c>
      <c r="B292" t="s">
        <v>1257</v>
      </c>
      <c r="C292" s="20" t="s">
        <v>1258</v>
      </c>
      <c r="D292" s="20" t="s">
        <v>813</v>
      </c>
      <c r="E292" t="s">
        <v>59</v>
      </c>
      <c r="H292" s="9"/>
      <c r="I292" s="9" t="s">
        <v>1259</v>
      </c>
      <c r="J292" s="4"/>
      <c r="K292" s="9" t="s">
        <v>1260</v>
      </c>
      <c r="L292" s="5" t="s">
        <v>81</v>
      </c>
      <c r="M292" t="s">
        <v>54</v>
      </c>
      <c r="N292" s="6" t="s">
        <v>46</v>
      </c>
      <c r="O292" s="6">
        <v>1</v>
      </c>
      <c r="R292" s="7">
        <v>576</v>
      </c>
    </row>
    <row r="293" spans="1:38" x14ac:dyDescent="0.2">
      <c r="A293" t="s">
        <v>1261</v>
      </c>
      <c r="B293" t="s">
        <v>1262</v>
      </c>
      <c r="C293" s="20" t="s">
        <v>1263</v>
      </c>
      <c r="D293" s="20" t="s">
        <v>1264</v>
      </c>
      <c r="E293" t="s">
        <v>1265</v>
      </c>
      <c r="H293" s="9"/>
      <c r="I293" s="9"/>
      <c r="J293" s="4"/>
      <c r="K293" s="4"/>
      <c r="L293" s="5" t="s">
        <v>279</v>
      </c>
      <c r="M293" t="s">
        <v>64</v>
      </c>
      <c r="N293" s="6" t="s">
        <v>55</v>
      </c>
      <c r="O293" s="6">
        <v>1</v>
      </c>
      <c r="P293" s="6">
        <v>73</v>
      </c>
      <c r="R293" s="7"/>
    </row>
    <row r="294" spans="1:38" x14ac:dyDescent="0.2">
      <c r="A294" t="s">
        <v>1266</v>
      </c>
      <c r="B294" t="s">
        <v>1262</v>
      </c>
      <c r="C294" s="20" t="s">
        <v>1263</v>
      </c>
      <c r="D294" s="20" t="s">
        <v>1267</v>
      </c>
      <c r="E294" t="s">
        <v>1268</v>
      </c>
      <c r="L294" s="5" t="s">
        <v>44</v>
      </c>
      <c r="M294" t="s">
        <v>64</v>
      </c>
      <c r="N294" s="6" t="s">
        <v>55</v>
      </c>
      <c r="O294" s="6">
        <v>1</v>
      </c>
      <c r="P294"/>
    </row>
    <row r="295" spans="1:38" x14ac:dyDescent="0.2">
      <c r="A295" t="s">
        <v>1269</v>
      </c>
      <c r="B295" t="s">
        <v>1262</v>
      </c>
      <c r="C295" s="20" t="s">
        <v>1270</v>
      </c>
      <c r="D295" s="20" t="s">
        <v>1271</v>
      </c>
      <c r="E295" t="s">
        <v>1272</v>
      </c>
      <c r="L295" s="5" t="s">
        <v>44</v>
      </c>
      <c r="M295" t="s">
        <v>54</v>
      </c>
      <c r="N295" s="6" t="s">
        <v>65</v>
      </c>
      <c r="O295" s="6">
        <v>1</v>
      </c>
      <c r="P295"/>
      <c r="X295" s="8"/>
      <c r="Z295" s="8"/>
      <c r="AD295" s="8"/>
      <c r="AF295" s="8"/>
      <c r="AG295" s="8"/>
      <c r="AH295" s="8"/>
      <c r="AJ295" s="8"/>
    </row>
    <row r="296" spans="1:38" x14ac:dyDescent="0.2">
      <c r="A296" t="s">
        <v>1273</v>
      </c>
      <c r="B296" t="s">
        <v>1274</v>
      </c>
      <c r="C296" s="20" t="s">
        <v>1275</v>
      </c>
      <c r="D296" s="20" t="s">
        <v>1276</v>
      </c>
      <c r="E296" t="s">
        <v>146</v>
      </c>
      <c r="I296" s="3"/>
      <c r="J296" s="3"/>
      <c r="L296" s="5" t="s">
        <v>44</v>
      </c>
      <c r="M296" t="s">
        <v>64</v>
      </c>
      <c r="N296" s="6" t="s">
        <v>65</v>
      </c>
      <c r="O296" s="6">
        <v>2</v>
      </c>
      <c r="R296" s="3"/>
      <c r="S296">
        <v>31.64556962</v>
      </c>
      <c r="T296" t="s">
        <v>564</v>
      </c>
      <c r="X296" s="8">
        <v>0.71727058013470102</v>
      </c>
      <c r="Y296" t="s">
        <v>88</v>
      </c>
    </row>
    <row r="297" spans="1:38" x14ac:dyDescent="0.2">
      <c r="A297" t="s">
        <v>1277</v>
      </c>
      <c r="B297" t="s">
        <v>1278</v>
      </c>
      <c r="C297" s="69" t="s">
        <v>1279</v>
      </c>
      <c r="D297" s="20" t="s">
        <v>1280</v>
      </c>
      <c r="E297" t="s">
        <v>487</v>
      </c>
      <c r="I297" s="3"/>
      <c r="J297" s="3"/>
      <c r="L297" s="5" t="s">
        <v>44</v>
      </c>
      <c r="M297" t="s">
        <v>64</v>
      </c>
      <c r="N297" s="6" t="s">
        <v>46</v>
      </c>
      <c r="O297" s="6">
        <v>2</v>
      </c>
      <c r="R297" s="3"/>
      <c r="X297" s="8"/>
    </row>
    <row r="298" spans="1:38" x14ac:dyDescent="0.2">
      <c r="A298" t="s">
        <v>1281</v>
      </c>
      <c r="B298" t="s">
        <v>1278</v>
      </c>
      <c r="C298" s="20" t="s">
        <v>1279</v>
      </c>
      <c r="D298" s="20" t="s">
        <v>187</v>
      </c>
      <c r="E298" t="s">
        <v>188</v>
      </c>
      <c r="I298" s="3"/>
      <c r="J298" s="3"/>
      <c r="L298" s="5" t="s">
        <v>44</v>
      </c>
      <c r="M298" t="s">
        <v>64</v>
      </c>
      <c r="N298" s="6" t="s">
        <v>55</v>
      </c>
      <c r="O298" s="6">
        <v>2</v>
      </c>
      <c r="R298" s="3"/>
    </row>
    <row r="299" spans="1:38" x14ac:dyDescent="0.2">
      <c r="A299" s="9" t="s">
        <v>1282</v>
      </c>
      <c r="B299" s="9" t="s">
        <v>1278</v>
      </c>
      <c r="C299" s="66" t="s">
        <v>1279</v>
      </c>
      <c r="D299" s="20" t="s">
        <v>1283</v>
      </c>
      <c r="E299" t="s">
        <v>1284</v>
      </c>
      <c r="H299" s="9" t="s">
        <v>1285</v>
      </c>
      <c r="I299" s="9" t="s">
        <v>1286</v>
      </c>
      <c r="J299" s="4"/>
      <c r="K299" s="4"/>
      <c r="L299" s="7" t="s">
        <v>44</v>
      </c>
      <c r="M299" s="9" t="s">
        <v>64</v>
      </c>
      <c r="N299" s="7" t="s">
        <v>55</v>
      </c>
      <c r="O299" s="7">
        <v>1</v>
      </c>
      <c r="P299" s="7">
        <v>59</v>
      </c>
      <c r="Q299" s="7" t="s">
        <v>74</v>
      </c>
      <c r="R299" s="7"/>
      <c r="S299" s="8"/>
      <c r="T299" s="3"/>
      <c r="U299" s="3"/>
      <c r="V299" s="3"/>
      <c r="W299" s="3"/>
      <c r="X299" s="8"/>
      <c r="Y299" s="3"/>
      <c r="Z299" s="17">
        <v>71.511111111111106</v>
      </c>
      <c r="AA299">
        <v>9</v>
      </c>
      <c r="AD299" s="8"/>
      <c r="AF299" s="8">
        <v>8.6</v>
      </c>
      <c r="AG299" s="8">
        <v>4.5199999999999996</v>
      </c>
      <c r="AH299" s="8"/>
      <c r="AI299" s="3"/>
      <c r="AL299" s="3"/>
    </row>
    <row r="300" spans="1:38" x14ac:dyDescent="0.2">
      <c r="A300" s="9" t="s">
        <v>1287</v>
      </c>
      <c r="B300" s="9" t="s">
        <v>1278</v>
      </c>
      <c r="C300" s="69" t="s">
        <v>1279</v>
      </c>
      <c r="D300" s="20" t="s">
        <v>1288</v>
      </c>
      <c r="E300" t="s">
        <v>1289</v>
      </c>
      <c r="H300" s="9"/>
      <c r="I300" s="9"/>
      <c r="J300" s="4"/>
      <c r="K300" s="4"/>
      <c r="L300" s="7" t="s">
        <v>44</v>
      </c>
      <c r="M300" s="9" t="s">
        <v>64</v>
      </c>
      <c r="N300" s="7" t="s">
        <v>65</v>
      </c>
      <c r="O300" s="7">
        <v>2</v>
      </c>
      <c r="R300" s="7"/>
      <c r="S300" s="8"/>
      <c r="T300" s="3"/>
      <c r="U300" s="3"/>
      <c r="V300" s="3"/>
      <c r="W300" s="3"/>
      <c r="X300" s="8"/>
      <c r="Y300" s="3"/>
      <c r="Z300" s="14"/>
      <c r="AA300" s="3"/>
      <c r="AB300" s="3"/>
      <c r="AC300" s="3"/>
      <c r="AD300" s="14"/>
      <c r="AE300" s="3"/>
      <c r="AF300" s="14"/>
      <c r="AG300" s="14"/>
      <c r="AH300" s="8"/>
      <c r="AI300" s="3"/>
    </row>
    <row r="301" spans="1:38" x14ac:dyDescent="0.2">
      <c r="A301" t="s">
        <v>1290</v>
      </c>
      <c r="B301" t="s">
        <v>1291</v>
      </c>
      <c r="C301" s="20" t="s">
        <v>1292</v>
      </c>
      <c r="D301" s="20" t="s">
        <v>1293</v>
      </c>
      <c r="E301" t="s">
        <v>59</v>
      </c>
      <c r="I301" s="3"/>
      <c r="J301" s="3"/>
      <c r="L301" s="6" t="s">
        <v>99</v>
      </c>
      <c r="M301" t="s">
        <v>54</v>
      </c>
      <c r="N301" s="6" t="s">
        <v>65</v>
      </c>
      <c r="O301" s="6">
        <v>4</v>
      </c>
      <c r="R301" s="3"/>
      <c r="S301" s="8"/>
      <c r="T301" s="3"/>
      <c r="U301" s="3"/>
      <c r="V301" s="3"/>
      <c r="W301" s="3"/>
      <c r="X301" s="8"/>
      <c r="Y301" s="3"/>
      <c r="Z301" s="14"/>
      <c r="AA301" s="3"/>
      <c r="AB301" s="3"/>
      <c r="AC301" s="3"/>
      <c r="AD301" s="14"/>
      <c r="AE301" s="3"/>
      <c r="AF301" s="14"/>
      <c r="AG301" s="14"/>
      <c r="AH301" s="8"/>
      <c r="AI301" s="3"/>
    </row>
    <row r="302" spans="1:38" x14ac:dyDescent="0.2">
      <c r="A302" t="s">
        <v>1294</v>
      </c>
      <c r="B302" t="s">
        <v>1295</v>
      </c>
      <c r="C302" s="20" t="s">
        <v>1296</v>
      </c>
      <c r="D302" s="20" t="s">
        <v>1297</v>
      </c>
      <c r="E302" t="s">
        <v>1298</v>
      </c>
      <c r="H302" s="9"/>
      <c r="I302" s="9" t="s">
        <v>1299</v>
      </c>
      <c r="J302" s="4"/>
      <c r="K302" s="4"/>
      <c r="L302" s="6" t="s">
        <v>94</v>
      </c>
      <c r="M302" t="s">
        <v>64</v>
      </c>
      <c r="N302" s="6" t="s">
        <v>46</v>
      </c>
      <c r="O302" s="6">
        <v>1</v>
      </c>
      <c r="Q302" s="6" t="s">
        <v>74</v>
      </c>
      <c r="R302" s="7"/>
      <c r="S302" s="8">
        <v>11.082124</v>
      </c>
      <c r="T302" t="s">
        <v>1300</v>
      </c>
      <c r="U302" s="18">
        <v>16.145518169417301</v>
      </c>
      <c r="V302" s="18">
        <v>63.126493039454502</v>
      </c>
      <c r="W302" s="18">
        <v>2</v>
      </c>
      <c r="Z302" s="17">
        <v>0.72833333333333306</v>
      </c>
      <c r="AA302">
        <v>60</v>
      </c>
      <c r="AC302" t="s">
        <v>47</v>
      </c>
      <c r="AF302" s="8">
        <v>1.96</v>
      </c>
      <c r="AG302" s="8">
        <v>0.69</v>
      </c>
      <c r="AH302" s="8">
        <v>0.53231157100000004</v>
      </c>
      <c r="AI302" t="s">
        <v>1301</v>
      </c>
    </row>
    <row r="303" spans="1:38" x14ac:dyDescent="0.2">
      <c r="A303" s="55" t="s">
        <v>2758</v>
      </c>
      <c r="B303" s="55" t="s">
        <v>2760</v>
      </c>
      <c r="C303" s="73" t="s">
        <v>2759</v>
      </c>
      <c r="D303" s="73" t="s">
        <v>738</v>
      </c>
      <c r="E303" s="55" t="s">
        <v>178</v>
      </c>
      <c r="F303" s="55"/>
      <c r="G303" s="55"/>
      <c r="H303" s="57"/>
      <c r="I303" s="57" t="s">
        <v>2761</v>
      </c>
      <c r="J303" s="58"/>
      <c r="K303" s="58"/>
      <c r="L303" s="59" t="s">
        <v>99</v>
      </c>
      <c r="M303" s="55" t="s">
        <v>54</v>
      </c>
      <c r="N303" s="59" t="s">
        <v>65</v>
      </c>
      <c r="O303" s="59">
        <v>4</v>
      </c>
      <c r="R303" s="7"/>
      <c r="S303" s="8"/>
      <c r="U303" s="18"/>
      <c r="V303" s="18"/>
      <c r="W303" s="18"/>
      <c r="Z303" s="17"/>
      <c r="AF303" s="8"/>
      <c r="AG303" s="8"/>
      <c r="AH303" s="8"/>
    </row>
    <row r="304" spans="1:38" x14ac:dyDescent="0.2">
      <c r="A304" t="s">
        <v>1302</v>
      </c>
      <c r="B304" t="s">
        <v>1303</v>
      </c>
      <c r="C304" s="20" t="s">
        <v>1304</v>
      </c>
      <c r="D304" s="20" t="s">
        <v>1305</v>
      </c>
      <c r="E304" t="s">
        <v>1306</v>
      </c>
      <c r="H304" s="9"/>
      <c r="I304" s="9" t="s">
        <v>1307</v>
      </c>
      <c r="J304" s="4"/>
      <c r="K304" s="9" t="s">
        <v>1308</v>
      </c>
      <c r="L304" s="5" t="s">
        <v>44</v>
      </c>
      <c r="M304" t="s">
        <v>54</v>
      </c>
      <c r="N304" s="6" t="s">
        <v>46</v>
      </c>
      <c r="O304" s="6">
        <v>1</v>
      </c>
      <c r="R304" s="7" t="s">
        <v>1309</v>
      </c>
    </row>
    <row r="305" spans="1:38" x14ac:dyDescent="0.2">
      <c r="A305" t="s">
        <v>1310</v>
      </c>
      <c r="B305" t="s">
        <v>1311</v>
      </c>
      <c r="C305" s="20" t="s">
        <v>1312</v>
      </c>
      <c r="D305" s="20" t="s">
        <v>1313</v>
      </c>
      <c r="E305" t="s">
        <v>1314</v>
      </c>
      <c r="F305">
        <v>1</v>
      </c>
      <c r="H305" t="s">
        <v>1315</v>
      </c>
      <c r="L305" s="6" t="s">
        <v>99</v>
      </c>
      <c r="M305" t="s">
        <v>64</v>
      </c>
      <c r="N305" s="6" t="s">
        <v>55</v>
      </c>
      <c r="O305" s="6">
        <v>4</v>
      </c>
      <c r="P305"/>
      <c r="Q305" s="6" t="s">
        <v>74</v>
      </c>
    </row>
    <row r="306" spans="1:38" x14ac:dyDescent="0.2">
      <c r="A306" t="s">
        <v>1316</v>
      </c>
      <c r="B306" t="s">
        <v>1317</v>
      </c>
      <c r="C306" s="20" t="s">
        <v>1318</v>
      </c>
      <c r="D306" s="20" t="s">
        <v>1319</v>
      </c>
      <c r="E306" t="s">
        <v>1320</v>
      </c>
      <c r="H306" s="9"/>
      <c r="I306" s="9"/>
      <c r="J306" s="4"/>
      <c r="K306" s="4"/>
      <c r="L306" s="6" t="s">
        <v>99</v>
      </c>
      <c r="M306" t="s">
        <v>64</v>
      </c>
      <c r="N306" s="6" t="s">
        <v>65</v>
      </c>
      <c r="O306" s="6">
        <v>1</v>
      </c>
      <c r="R306" s="7"/>
      <c r="S306">
        <v>19.203499990000001</v>
      </c>
      <c r="T306" t="s">
        <v>66</v>
      </c>
      <c r="X306">
        <v>17.457999999999998</v>
      </c>
      <c r="Y306" t="s">
        <v>66</v>
      </c>
      <c r="AH306" s="8">
        <v>0.50588752199999998</v>
      </c>
      <c r="AI306" t="s">
        <v>1321</v>
      </c>
    </row>
    <row r="307" spans="1:38" x14ac:dyDescent="0.2">
      <c r="A307" t="s">
        <v>1322</v>
      </c>
      <c r="B307" t="s">
        <v>1323</v>
      </c>
      <c r="C307" s="20" t="s">
        <v>1324</v>
      </c>
      <c r="D307" s="20" t="s">
        <v>792</v>
      </c>
      <c r="E307" t="s">
        <v>1325</v>
      </c>
      <c r="I307" s="3"/>
      <c r="J307" s="3"/>
      <c r="L307" s="6" t="s">
        <v>99</v>
      </c>
      <c r="M307" t="s">
        <v>64</v>
      </c>
      <c r="N307" s="6" t="s">
        <v>65</v>
      </c>
      <c r="O307" s="6">
        <v>1</v>
      </c>
      <c r="R307" s="3"/>
      <c r="S307">
        <v>23.206994999999999</v>
      </c>
      <c r="T307" t="s">
        <v>66</v>
      </c>
    </row>
    <row r="308" spans="1:38" x14ac:dyDescent="0.2">
      <c r="A308" t="s">
        <v>1326</v>
      </c>
      <c r="B308" t="s">
        <v>1323</v>
      </c>
      <c r="C308" s="20" t="s">
        <v>1324</v>
      </c>
      <c r="D308" s="20" t="s">
        <v>1327</v>
      </c>
      <c r="E308" t="s">
        <v>1328</v>
      </c>
      <c r="F308">
        <v>1</v>
      </c>
      <c r="I308" s="3"/>
      <c r="J308" s="3"/>
      <c r="L308" s="6" t="s">
        <v>99</v>
      </c>
      <c r="M308" t="s">
        <v>64</v>
      </c>
      <c r="N308" s="6" t="s">
        <v>65</v>
      </c>
      <c r="O308" s="6">
        <v>1</v>
      </c>
      <c r="R308" s="3"/>
    </row>
    <row r="309" spans="1:38" x14ac:dyDescent="0.2">
      <c r="A309" t="s">
        <v>1329</v>
      </c>
      <c r="B309" t="s">
        <v>1323</v>
      </c>
      <c r="C309" s="20" t="s">
        <v>1324</v>
      </c>
      <c r="D309" s="20" t="s">
        <v>1330</v>
      </c>
      <c r="E309" t="s">
        <v>59</v>
      </c>
      <c r="F309" t="s">
        <v>1331</v>
      </c>
      <c r="G309" t="s">
        <v>1332</v>
      </c>
      <c r="H309" t="s">
        <v>1333</v>
      </c>
      <c r="I309" s="3" t="s">
        <v>1334</v>
      </c>
      <c r="J309" s="3"/>
      <c r="K309" s="9" t="s">
        <v>460</v>
      </c>
      <c r="L309" s="6" t="s">
        <v>99</v>
      </c>
      <c r="M309" t="s">
        <v>64</v>
      </c>
      <c r="N309" s="6" t="s">
        <v>65</v>
      </c>
      <c r="O309" s="6">
        <v>1</v>
      </c>
      <c r="Q309" s="6" t="s">
        <v>74</v>
      </c>
      <c r="R309" s="3"/>
    </row>
    <row r="310" spans="1:38" ht="13" customHeight="1" x14ac:dyDescent="0.2">
      <c r="A310" s="9" t="s">
        <v>1335</v>
      </c>
      <c r="B310" s="9" t="s">
        <v>1323</v>
      </c>
      <c r="C310" s="66" t="s">
        <v>1336</v>
      </c>
      <c r="D310" s="20" t="s">
        <v>1337</v>
      </c>
      <c r="E310" t="s">
        <v>1338</v>
      </c>
      <c r="H310" s="4"/>
      <c r="I310" s="4"/>
      <c r="J310" s="9" t="s">
        <v>1339</v>
      </c>
      <c r="K310" s="13"/>
      <c r="L310" s="5" t="s">
        <v>44</v>
      </c>
      <c r="M310" t="s">
        <v>54</v>
      </c>
      <c r="N310" s="6" t="s">
        <v>46</v>
      </c>
      <c r="O310" s="6">
        <v>1</v>
      </c>
      <c r="R310" s="7">
        <v>569</v>
      </c>
      <c r="AC310" t="s">
        <v>47</v>
      </c>
    </row>
    <row r="311" spans="1:38" x14ac:dyDescent="0.2">
      <c r="A311" s="9" t="s">
        <v>1340</v>
      </c>
      <c r="B311" s="9" t="s">
        <v>1323</v>
      </c>
      <c r="C311" s="66" t="s">
        <v>1336</v>
      </c>
      <c r="D311" s="20" t="s">
        <v>1341</v>
      </c>
      <c r="E311" t="s">
        <v>201</v>
      </c>
      <c r="H311" s="4"/>
      <c r="I311" s="9" t="s">
        <v>1342</v>
      </c>
      <c r="J311" s="4"/>
      <c r="K311" s="13"/>
      <c r="L311" s="5" t="s">
        <v>44</v>
      </c>
      <c r="M311" t="s">
        <v>54</v>
      </c>
      <c r="N311" s="6" t="s">
        <v>46</v>
      </c>
      <c r="O311" s="6">
        <v>1</v>
      </c>
      <c r="R311" s="7">
        <v>572</v>
      </c>
      <c r="X311" s="8">
        <v>0.30399999999999999</v>
      </c>
      <c r="Y311" t="s">
        <v>429</v>
      </c>
      <c r="AD311" s="17">
        <v>0.17</v>
      </c>
      <c r="AE311" s="18">
        <v>20</v>
      </c>
      <c r="AF311" s="17">
        <v>1.2</v>
      </c>
      <c r="AG311" s="17">
        <v>0.52</v>
      </c>
    </row>
    <row r="312" spans="1:38" x14ac:dyDescent="0.2">
      <c r="A312" s="9" t="s">
        <v>1343</v>
      </c>
      <c r="B312" s="9" t="s">
        <v>1323</v>
      </c>
      <c r="C312" s="66" t="s">
        <v>1336</v>
      </c>
      <c r="D312" s="20" t="s">
        <v>1344</v>
      </c>
      <c r="E312" t="s">
        <v>1345</v>
      </c>
      <c r="H312" s="4"/>
      <c r="I312" s="9" t="s">
        <v>1346</v>
      </c>
      <c r="J312" s="4"/>
      <c r="K312" s="13"/>
      <c r="L312" s="5" t="s">
        <v>44</v>
      </c>
      <c r="M312" t="s">
        <v>54</v>
      </c>
      <c r="N312" s="6" t="s">
        <v>46</v>
      </c>
      <c r="O312" s="6">
        <v>1</v>
      </c>
      <c r="R312" s="7"/>
      <c r="X312" s="8">
        <v>0.112</v>
      </c>
      <c r="Y312" t="s">
        <v>429</v>
      </c>
    </row>
    <row r="313" spans="1:38" x14ac:dyDescent="0.2">
      <c r="A313" s="9" t="s">
        <v>1347</v>
      </c>
      <c r="B313" s="9" t="s">
        <v>1323</v>
      </c>
      <c r="C313" s="66" t="s">
        <v>1336</v>
      </c>
      <c r="D313" s="20" t="s">
        <v>1348</v>
      </c>
      <c r="E313" t="s">
        <v>1349</v>
      </c>
      <c r="H313" s="4"/>
      <c r="I313" s="4"/>
      <c r="J313" s="4"/>
      <c r="K313" s="13"/>
      <c r="L313" s="5" t="s">
        <v>44</v>
      </c>
      <c r="M313" t="s">
        <v>54</v>
      </c>
      <c r="N313" s="6" t="s">
        <v>46</v>
      </c>
      <c r="O313" s="6">
        <v>1</v>
      </c>
      <c r="R313" s="7"/>
      <c r="X313" s="8">
        <v>7.4999999999999997E-2</v>
      </c>
      <c r="Y313" t="s">
        <v>429</v>
      </c>
    </row>
    <row r="314" spans="1:38" x14ac:dyDescent="0.2">
      <c r="A314" t="s">
        <v>1350</v>
      </c>
      <c r="B314" t="s">
        <v>1323</v>
      </c>
      <c r="C314" s="20" t="s">
        <v>1336</v>
      </c>
      <c r="D314" s="20" t="s">
        <v>187</v>
      </c>
      <c r="E314" t="s">
        <v>188</v>
      </c>
      <c r="I314" s="3"/>
      <c r="J314" s="3"/>
      <c r="L314" s="5" t="s">
        <v>44</v>
      </c>
      <c r="M314" t="s">
        <v>54</v>
      </c>
      <c r="N314" s="6" t="s">
        <v>46</v>
      </c>
      <c r="O314" s="6">
        <v>1</v>
      </c>
      <c r="R314" s="3"/>
      <c r="AL314" s="3"/>
    </row>
    <row r="315" spans="1:38" x14ac:dyDescent="0.2">
      <c r="A315" t="s">
        <v>1351</v>
      </c>
      <c r="B315" t="s">
        <v>1323</v>
      </c>
      <c r="C315" s="20" t="s">
        <v>1336</v>
      </c>
      <c r="D315" s="20" t="s">
        <v>1352</v>
      </c>
      <c r="E315" t="s">
        <v>1353</v>
      </c>
      <c r="L315" s="5" t="s">
        <v>44</v>
      </c>
      <c r="M315" t="s">
        <v>54</v>
      </c>
      <c r="N315" s="6" t="s">
        <v>46</v>
      </c>
      <c r="O315" s="6">
        <v>1</v>
      </c>
      <c r="P315"/>
    </row>
    <row r="316" spans="1:38" x14ac:dyDescent="0.2">
      <c r="A316" t="s">
        <v>1354</v>
      </c>
      <c r="B316" t="s">
        <v>1323</v>
      </c>
      <c r="C316" s="20" t="s">
        <v>1355</v>
      </c>
      <c r="D316" s="20" t="s">
        <v>792</v>
      </c>
      <c r="E316" t="s">
        <v>69</v>
      </c>
      <c r="H316" s="4"/>
      <c r="I316" s="4"/>
      <c r="J316" s="4"/>
      <c r="K316" s="4"/>
      <c r="L316" s="5" t="s">
        <v>44</v>
      </c>
      <c r="M316" t="s">
        <v>54</v>
      </c>
      <c r="N316" s="6" t="s">
        <v>46</v>
      </c>
      <c r="O316" s="6">
        <v>1</v>
      </c>
      <c r="R316" s="7"/>
    </row>
    <row r="317" spans="1:38" x14ac:dyDescent="0.2">
      <c r="A317" t="s">
        <v>1356</v>
      </c>
      <c r="B317" t="s">
        <v>1357</v>
      </c>
      <c r="C317" s="20" t="s">
        <v>1358</v>
      </c>
      <c r="D317" s="20" t="s">
        <v>792</v>
      </c>
      <c r="E317" t="s">
        <v>1359</v>
      </c>
      <c r="I317" s="3"/>
      <c r="J317" s="3"/>
      <c r="L317" s="6" t="s">
        <v>99</v>
      </c>
      <c r="M317" t="s">
        <v>64</v>
      </c>
      <c r="N317" s="6" t="s">
        <v>65</v>
      </c>
      <c r="O317" s="6">
        <v>3</v>
      </c>
      <c r="R317" s="3"/>
      <c r="S317" s="8"/>
      <c r="T317" s="3"/>
      <c r="U317" s="3"/>
      <c r="V317" s="3"/>
      <c r="W317" s="3"/>
      <c r="X317" s="8"/>
      <c r="Y317" s="3"/>
      <c r="Z317" s="8"/>
      <c r="AA317" s="3"/>
      <c r="AB317" s="3"/>
      <c r="AC317" s="3"/>
      <c r="AD317" s="8"/>
      <c r="AE317" s="3"/>
      <c r="AF317" s="8"/>
      <c r="AG317" s="8"/>
      <c r="AH317" s="8"/>
      <c r="AI317" s="3"/>
      <c r="AJ317" s="8"/>
      <c r="AK317" s="3"/>
    </row>
    <row r="318" spans="1:38" x14ac:dyDescent="0.2">
      <c r="A318" t="s">
        <v>1360</v>
      </c>
      <c r="B318" t="s">
        <v>1357</v>
      </c>
      <c r="C318" s="20" t="s">
        <v>1361</v>
      </c>
      <c r="D318" s="20" t="s">
        <v>187</v>
      </c>
      <c r="E318" t="s">
        <v>188</v>
      </c>
      <c r="I318" s="3"/>
      <c r="J318" s="3"/>
      <c r="K318" s="3"/>
      <c r="L318" s="6" t="s">
        <v>99</v>
      </c>
      <c r="M318" t="s">
        <v>64</v>
      </c>
      <c r="N318" s="6" t="s">
        <v>65</v>
      </c>
      <c r="O318" s="6" t="s">
        <v>208</v>
      </c>
      <c r="R318" s="3"/>
    </row>
    <row r="319" spans="1:38" x14ac:dyDescent="0.2">
      <c r="A319" t="s">
        <v>1362</v>
      </c>
      <c r="B319" t="s">
        <v>1357</v>
      </c>
      <c r="C319" s="20" t="s">
        <v>1361</v>
      </c>
      <c r="D319" s="20" t="s">
        <v>1363</v>
      </c>
      <c r="E319" t="s">
        <v>1364</v>
      </c>
      <c r="L319" s="6" t="s">
        <v>99</v>
      </c>
      <c r="M319" t="s">
        <v>64</v>
      </c>
      <c r="N319" s="6" t="s">
        <v>65</v>
      </c>
      <c r="O319" s="6">
        <v>3</v>
      </c>
      <c r="P319"/>
      <c r="AJ319" s="14"/>
      <c r="AK319" s="3"/>
    </row>
    <row r="320" spans="1:38" ht="16" x14ac:dyDescent="0.2">
      <c r="A320" t="s">
        <v>1365</v>
      </c>
      <c r="B320" t="s">
        <v>1357</v>
      </c>
      <c r="C320" s="20" t="s">
        <v>1366</v>
      </c>
      <c r="D320" s="20" t="s">
        <v>1367</v>
      </c>
      <c r="E320" s="49" t="s">
        <v>1368</v>
      </c>
      <c r="H320" s="4"/>
      <c r="I320" s="4"/>
      <c r="J320" s="4"/>
      <c r="K320" s="9"/>
      <c r="L320" s="6" t="s">
        <v>99</v>
      </c>
      <c r="M320" t="s">
        <v>64</v>
      </c>
      <c r="N320" s="6" t="s">
        <v>65</v>
      </c>
      <c r="O320" s="6">
        <v>2</v>
      </c>
      <c r="R320" s="7"/>
      <c r="AH320" s="8"/>
      <c r="AL320" s="3"/>
    </row>
    <row r="321" spans="1:38" x14ac:dyDescent="0.2">
      <c r="A321" t="s">
        <v>1369</v>
      </c>
      <c r="B321" t="s">
        <v>1357</v>
      </c>
      <c r="C321" s="20" t="s">
        <v>1366</v>
      </c>
      <c r="D321" s="20" t="s">
        <v>104</v>
      </c>
      <c r="E321" t="s">
        <v>1370</v>
      </c>
      <c r="H321" s="4"/>
      <c r="I321" s="4"/>
      <c r="J321" s="4"/>
      <c r="K321" s="9" t="s">
        <v>1371</v>
      </c>
      <c r="L321" s="6" t="s">
        <v>99</v>
      </c>
      <c r="M321" t="s">
        <v>64</v>
      </c>
      <c r="N321" s="6" t="s">
        <v>65</v>
      </c>
      <c r="O321" s="6">
        <v>2</v>
      </c>
      <c r="R321" s="7"/>
      <c r="AC321" t="s">
        <v>47</v>
      </c>
      <c r="AH321" s="8">
        <v>0.5</v>
      </c>
      <c r="AI321" t="s">
        <v>330</v>
      </c>
      <c r="AL321" s="3"/>
    </row>
    <row r="322" spans="1:38" x14ac:dyDescent="0.2">
      <c r="A322" t="s">
        <v>1372</v>
      </c>
      <c r="B322" t="s">
        <v>1357</v>
      </c>
      <c r="C322" s="20" t="s">
        <v>1366</v>
      </c>
      <c r="D322" s="20" t="s">
        <v>187</v>
      </c>
      <c r="I322" s="3"/>
      <c r="J322" s="3"/>
      <c r="K322" s="3"/>
      <c r="L322" s="6" t="s">
        <v>99</v>
      </c>
      <c r="M322" t="s">
        <v>64</v>
      </c>
      <c r="N322" s="6" t="s">
        <v>65</v>
      </c>
      <c r="O322" s="6">
        <v>2</v>
      </c>
      <c r="R322" s="3"/>
    </row>
    <row r="323" spans="1:38" x14ac:dyDescent="0.2">
      <c r="A323" t="s">
        <v>1373</v>
      </c>
      <c r="B323" t="s">
        <v>1357</v>
      </c>
      <c r="C323" s="20" t="s">
        <v>1366</v>
      </c>
      <c r="D323" s="20" t="s">
        <v>1374</v>
      </c>
      <c r="E323" t="s">
        <v>1359</v>
      </c>
      <c r="H323" s="4"/>
      <c r="I323" s="4"/>
      <c r="J323" s="4"/>
      <c r="K323" s="9" t="s">
        <v>1375</v>
      </c>
      <c r="L323" s="6" t="s">
        <v>99</v>
      </c>
      <c r="M323" t="s">
        <v>64</v>
      </c>
      <c r="N323" s="6" t="s">
        <v>65</v>
      </c>
      <c r="O323" s="6">
        <v>2</v>
      </c>
      <c r="R323" s="7"/>
      <c r="AC323" t="s">
        <v>47</v>
      </c>
    </row>
    <row r="324" spans="1:38" x14ac:dyDescent="0.2">
      <c r="A324" t="s">
        <v>1376</v>
      </c>
      <c r="B324" t="s">
        <v>1357</v>
      </c>
      <c r="C324" s="20" t="s">
        <v>1366</v>
      </c>
      <c r="D324" s="20" t="s">
        <v>1377</v>
      </c>
      <c r="E324" t="s">
        <v>1378</v>
      </c>
      <c r="H324" s="4"/>
      <c r="I324" s="13" t="s">
        <v>1379</v>
      </c>
      <c r="J324" s="4"/>
      <c r="K324" s="9"/>
      <c r="L324" s="6" t="s">
        <v>99</v>
      </c>
      <c r="M324" t="s">
        <v>64</v>
      </c>
      <c r="N324" s="6" t="s">
        <v>65</v>
      </c>
      <c r="O324" s="6">
        <v>2</v>
      </c>
      <c r="P324" s="6" t="s">
        <v>1380</v>
      </c>
      <c r="R324" s="7"/>
      <c r="S324">
        <v>12.700074580000001</v>
      </c>
      <c r="T324" t="s">
        <v>66</v>
      </c>
      <c r="X324">
        <v>57.494999999999997</v>
      </c>
      <c r="Y324" t="s">
        <v>66</v>
      </c>
      <c r="AC324" t="s">
        <v>47</v>
      </c>
      <c r="AH324" s="8">
        <v>0.52830325199999995</v>
      </c>
      <c r="AI324" t="s">
        <v>66</v>
      </c>
      <c r="AL324" s="3"/>
    </row>
    <row r="325" spans="1:38" x14ac:dyDescent="0.2">
      <c r="A325" t="s">
        <v>1381</v>
      </c>
      <c r="B325" t="s">
        <v>1357</v>
      </c>
      <c r="C325" s="20" t="s">
        <v>1382</v>
      </c>
      <c r="D325" s="20" t="s">
        <v>1383</v>
      </c>
      <c r="E325" t="s">
        <v>1384</v>
      </c>
      <c r="F325">
        <v>1</v>
      </c>
      <c r="H325" s="4"/>
      <c r="I325" s="13"/>
      <c r="J325" s="4"/>
      <c r="K325" s="9"/>
      <c r="L325" s="6" t="s">
        <v>99</v>
      </c>
      <c r="M325" t="s">
        <v>64</v>
      </c>
      <c r="N325" s="6" t="s">
        <v>65</v>
      </c>
      <c r="O325" s="6">
        <v>3</v>
      </c>
      <c r="R325" s="7"/>
      <c r="AH325" s="8"/>
      <c r="AL325" s="3"/>
    </row>
    <row r="326" spans="1:38" ht="16" x14ac:dyDescent="0.2">
      <c r="A326" t="s">
        <v>1385</v>
      </c>
      <c r="B326" t="s">
        <v>1357</v>
      </c>
      <c r="C326" s="20" t="s">
        <v>1386</v>
      </c>
      <c r="D326" s="20" t="s">
        <v>1387</v>
      </c>
      <c r="E326" s="49" t="s">
        <v>1388</v>
      </c>
      <c r="H326" s="4"/>
      <c r="I326" s="9"/>
      <c r="J326" s="4"/>
      <c r="K326" s="9"/>
      <c r="L326" s="6" t="s">
        <v>99</v>
      </c>
      <c r="M326" t="s">
        <v>64</v>
      </c>
      <c r="N326" s="6" t="s">
        <v>65</v>
      </c>
      <c r="O326" s="6">
        <v>3</v>
      </c>
      <c r="R326" s="7"/>
      <c r="AH326" s="8"/>
      <c r="AJ326" s="14"/>
      <c r="AK326" s="3"/>
    </row>
    <row r="327" spans="1:38" x14ac:dyDescent="0.2">
      <c r="A327" t="s">
        <v>1389</v>
      </c>
      <c r="B327" t="s">
        <v>1357</v>
      </c>
      <c r="C327" s="20" t="s">
        <v>1386</v>
      </c>
      <c r="D327" s="20" t="s">
        <v>1390</v>
      </c>
      <c r="E327" t="s">
        <v>1391</v>
      </c>
      <c r="L327" s="6" t="s">
        <v>99</v>
      </c>
      <c r="M327" t="s">
        <v>64</v>
      </c>
      <c r="N327" s="6" t="s">
        <v>65</v>
      </c>
      <c r="O327" s="6">
        <v>3</v>
      </c>
      <c r="P327"/>
    </row>
    <row r="328" spans="1:38" x14ac:dyDescent="0.2">
      <c r="A328" t="s">
        <v>1392</v>
      </c>
      <c r="B328" t="s">
        <v>1357</v>
      </c>
      <c r="C328" s="20" t="s">
        <v>1386</v>
      </c>
      <c r="D328" s="20" t="s">
        <v>1393</v>
      </c>
      <c r="E328" t="s">
        <v>1394</v>
      </c>
      <c r="L328" s="6" t="s">
        <v>99</v>
      </c>
      <c r="M328" t="s">
        <v>64</v>
      </c>
      <c r="N328" s="6" t="s">
        <v>65</v>
      </c>
      <c r="O328" s="6">
        <v>3</v>
      </c>
      <c r="P328"/>
    </row>
    <row r="329" spans="1:38" ht="14.25" customHeight="1" x14ac:dyDescent="0.2">
      <c r="A329" t="s">
        <v>1395</v>
      </c>
      <c r="B329" t="s">
        <v>1357</v>
      </c>
      <c r="C329" s="20" t="s">
        <v>1386</v>
      </c>
      <c r="D329" s="20" t="s">
        <v>1396</v>
      </c>
      <c r="E329" t="s">
        <v>1397</v>
      </c>
      <c r="H329" s="4"/>
      <c r="I329" s="4"/>
      <c r="J329" s="4"/>
      <c r="K329" s="9" t="s">
        <v>1398</v>
      </c>
      <c r="L329" s="6" t="s">
        <v>99</v>
      </c>
      <c r="M329" t="s">
        <v>64</v>
      </c>
      <c r="N329" s="6" t="s">
        <v>65</v>
      </c>
      <c r="O329" s="6">
        <v>3</v>
      </c>
      <c r="R329" s="7"/>
      <c r="S329">
        <v>10.681252880000001</v>
      </c>
      <c r="T329" t="s">
        <v>66</v>
      </c>
      <c r="X329">
        <v>236.792</v>
      </c>
      <c r="Y329" t="s">
        <v>66</v>
      </c>
      <c r="AC329" t="s">
        <v>47</v>
      </c>
      <c r="AH329" s="8">
        <v>0.44</v>
      </c>
      <c r="AI329" t="s">
        <v>1399</v>
      </c>
    </row>
    <row r="330" spans="1:38" ht="15" customHeight="1" x14ac:dyDescent="0.2">
      <c r="A330" t="s">
        <v>1400</v>
      </c>
      <c r="B330" t="s">
        <v>1357</v>
      </c>
      <c r="C330" s="20" t="s">
        <v>1386</v>
      </c>
      <c r="D330" s="20" t="s">
        <v>1401</v>
      </c>
      <c r="E330" t="s">
        <v>1402</v>
      </c>
      <c r="H330" s="4"/>
      <c r="I330" s="4"/>
      <c r="J330" s="4"/>
      <c r="K330" s="9"/>
      <c r="L330" s="6" t="s">
        <v>99</v>
      </c>
      <c r="M330" t="s">
        <v>64</v>
      </c>
      <c r="N330" s="6" t="s">
        <v>65</v>
      </c>
      <c r="O330" s="6">
        <v>3</v>
      </c>
      <c r="R330" s="7"/>
      <c r="AC330" t="s">
        <v>47</v>
      </c>
      <c r="AH330" s="8">
        <v>0.505</v>
      </c>
      <c r="AI330" t="s">
        <v>1403</v>
      </c>
    </row>
    <row r="331" spans="1:38" x14ac:dyDescent="0.2">
      <c r="A331" t="s">
        <v>1404</v>
      </c>
      <c r="B331" t="s">
        <v>1357</v>
      </c>
      <c r="C331" s="20" t="s">
        <v>1386</v>
      </c>
      <c r="D331" s="20" t="s">
        <v>364</v>
      </c>
      <c r="H331" s="4"/>
      <c r="I331" s="4"/>
      <c r="J331" s="4"/>
      <c r="K331" s="9"/>
      <c r="L331" s="6" t="s">
        <v>99</v>
      </c>
      <c r="M331" t="s">
        <v>64</v>
      </c>
      <c r="N331" s="6" t="s">
        <v>65</v>
      </c>
      <c r="O331" s="6">
        <v>3</v>
      </c>
      <c r="R331" s="7"/>
      <c r="AH331" s="8"/>
    </row>
    <row r="332" spans="1:38" x14ac:dyDescent="0.2">
      <c r="A332" s="48" t="s">
        <v>2776</v>
      </c>
      <c r="B332" s="48" t="s">
        <v>1357</v>
      </c>
      <c r="C332" s="67" t="s">
        <v>1406</v>
      </c>
      <c r="D332" s="67" t="s">
        <v>2775</v>
      </c>
      <c r="E332" s="48" t="s">
        <v>2774</v>
      </c>
      <c r="F332" s="48"/>
      <c r="G332" s="48"/>
      <c r="H332" s="63" t="s">
        <v>1405</v>
      </c>
      <c r="I332" s="48"/>
      <c r="J332" s="4"/>
      <c r="K332" s="9" t="s">
        <v>1408</v>
      </c>
      <c r="L332" s="64" t="s">
        <v>94</v>
      </c>
      <c r="M332" s="48" t="s">
        <v>64</v>
      </c>
      <c r="N332" s="64" t="s">
        <v>55</v>
      </c>
      <c r="O332" s="64">
        <v>2</v>
      </c>
      <c r="R332" s="7"/>
      <c r="S332">
        <v>14.37230551</v>
      </c>
      <c r="T332" t="s">
        <v>66</v>
      </c>
      <c r="X332">
        <v>47.774999999999999</v>
      </c>
      <c r="Y332" t="s">
        <v>66</v>
      </c>
      <c r="AC332" t="s">
        <v>47</v>
      </c>
      <c r="AH332" s="8">
        <v>0.42173881099999999</v>
      </c>
      <c r="AI332" t="s">
        <v>1409</v>
      </c>
    </row>
    <row r="333" spans="1:38" x14ac:dyDescent="0.2">
      <c r="A333" t="s">
        <v>1410</v>
      </c>
      <c r="B333" t="s">
        <v>1357</v>
      </c>
      <c r="C333" s="20" t="s">
        <v>1406</v>
      </c>
      <c r="D333" s="20" t="s">
        <v>1411</v>
      </c>
      <c r="E333" t="s">
        <v>1412</v>
      </c>
      <c r="F333">
        <v>1</v>
      </c>
      <c r="H333" s="4"/>
      <c r="I333" s="4"/>
      <c r="J333" s="4"/>
      <c r="K333" s="9"/>
      <c r="L333" s="6" t="s">
        <v>99</v>
      </c>
      <c r="M333" t="s">
        <v>64</v>
      </c>
      <c r="N333" s="6" t="s">
        <v>65</v>
      </c>
      <c r="O333" s="6">
        <v>2</v>
      </c>
      <c r="R333" s="7"/>
      <c r="AH333" s="8"/>
    </row>
    <row r="334" spans="1:38" x14ac:dyDescent="0.2">
      <c r="A334" s="55" t="s">
        <v>1410</v>
      </c>
      <c r="B334" s="55" t="s">
        <v>1357</v>
      </c>
      <c r="C334" s="73" t="s">
        <v>1406</v>
      </c>
      <c r="D334" s="73" t="s">
        <v>2771</v>
      </c>
      <c r="E334" s="55" t="s">
        <v>2772</v>
      </c>
      <c r="F334" s="55"/>
      <c r="G334" s="55"/>
      <c r="H334" s="58"/>
      <c r="I334" s="58" t="s">
        <v>2773</v>
      </c>
      <c r="J334" s="4"/>
      <c r="K334" s="9"/>
      <c r="L334" s="59" t="s">
        <v>99</v>
      </c>
      <c r="M334" s="55" t="s">
        <v>64</v>
      </c>
      <c r="N334" s="59" t="s">
        <v>65</v>
      </c>
      <c r="O334" s="59">
        <v>3</v>
      </c>
      <c r="R334" s="7"/>
      <c r="AH334" s="8"/>
    </row>
    <row r="335" spans="1:38" x14ac:dyDescent="0.2">
      <c r="A335" t="s">
        <v>1413</v>
      </c>
      <c r="B335" t="s">
        <v>1357</v>
      </c>
      <c r="C335" s="20" t="s">
        <v>1406</v>
      </c>
      <c r="D335" s="20" t="s">
        <v>1414</v>
      </c>
      <c r="E335" t="s">
        <v>1415</v>
      </c>
      <c r="H335" s="4"/>
      <c r="I335" s="4"/>
      <c r="J335" s="4"/>
      <c r="K335" s="9" t="s">
        <v>1416</v>
      </c>
      <c r="L335" s="6" t="s">
        <v>99</v>
      </c>
      <c r="M335" t="s">
        <v>64</v>
      </c>
      <c r="N335" s="6" t="s">
        <v>65</v>
      </c>
      <c r="O335" s="6">
        <v>3</v>
      </c>
      <c r="P335" s="6">
        <v>129</v>
      </c>
      <c r="R335" s="7"/>
      <c r="X335" s="8">
        <v>750</v>
      </c>
      <c r="Y335" t="s">
        <v>315</v>
      </c>
    </row>
    <row r="336" spans="1:38" ht="16.5" customHeight="1" x14ac:dyDescent="0.2">
      <c r="A336" t="s">
        <v>1417</v>
      </c>
      <c r="B336" t="s">
        <v>1357</v>
      </c>
      <c r="C336" s="20" t="s">
        <v>1406</v>
      </c>
      <c r="D336" s="20" t="s">
        <v>1418</v>
      </c>
      <c r="E336" t="s">
        <v>1419</v>
      </c>
      <c r="L336" s="6" t="s">
        <v>99</v>
      </c>
      <c r="M336" t="s">
        <v>64</v>
      </c>
      <c r="N336" s="6" t="s">
        <v>55</v>
      </c>
      <c r="O336" s="6">
        <v>2</v>
      </c>
      <c r="P336"/>
      <c r="X336">
        <v>130.85769999999999</v>
      </c>
      <c r="Y336" t="s">
        <v>845</v>
      </c>
      <c r="AH336" s="8">
        <v>0.37340000000000001</v>
      </c>
      <c r="AI336" t="s">
        <v>66</v>
      </c>
    </row>
    <row r="337" spans="1:38" x14ac:dyDescent="0.2">
      <c r="A337" t="s">
        <v>1420</v>
      </c>
      <c r="B337" t="s">
        <v>1357</v>
      </c>
      <c r="C337" s="20" t="s">
        <v>1406</v>
      </c>
      <c r="D337" s="20" t="s">
        <v>1421</v>
      </c>
      <c r="E337" t="s">
        <v>1422</v>
      </c>
      <c r="L337" s="6" t="s">
        <v>99</v>
      </c>
      <c r="M337" t="s">
        <v>64</v>
      </c>
      <c r="N337" s="6" t="s">
        <v>65</v>
      </c>
      <c r="O337" s="6">
        <v>2</v>
      </c>
      <c r="P337"/>
      <c r="AH337" s="8"/>
    </row>
    <row r="338" spans="1:38" x14ac:dyDescent="0.2">
      <c r="A338" t="s">
        <v>1423</v>
      </c>
      <c r="B338" t="s">
        <v>1357</v>
      </c>
      <c r="C338" s="20" t="s">
        <v>1406</v>
      </c>
      <c r="D338" s="20" t="s">
        <v>1424</v>
      </c>
      <c r="E338" t="s">
        <v>1425</v>
      </c>
      <c r="H338" s="4"/>
      <c r="I338" s="4"/>
      <c r="J338" s="4"/>
      <c r="K338" s="9"/>
      <c r="L338" s="6" t="s">
        <v>99</v>
      </c>
      <c r="M338" t="s">
        <v>64</v>
      </c>
      <c r="N338" s="6" t="s">
        <v>65</v>
      </c>
      <c r="O338" s="6">
        <v>3</v>
      </c>
      <c r="R338" s="7"/>
      <c r="S338" s="8">
        <v>14.089024804607501</v>
      </c>
      <c r="T338" t="s">
        <v>147</v>
      </c>
      <c r="AC338" t="s">
        <v>47</v>
      </c>
    </row>
    <row r="339" spans="1:38" x14ac:dyDescent="0.2">
      <c r="A339" t="s">
        <v>1426</v>
      </c>
      <c r="B339" t="s">
        <v>1357</v>
      </c>
      <c r="C339" s="20" t="s">
        <v>1406</v>
      </c>
      <c r="D339" s="20" t="s">
        <v>1427</v>
      </c>
      <c r="E339" t="s">
        <v>1428</v>
      </c>
      <c r="H339" s="4"/>
      <c r="I339" s="4"/>
      <c r="J339" s="4"/>
      <c r="K339" s="9"/>
      <c r="L339" s="6" t="s">
        <v>99</v>
      </c>
      <c r="M339" t="s">
        <v>64</v>
      </c>
      <c r="N339" s="6" t="s">
        <v>65</v>
      </c>
      <c r="O339" s="6">
        <v>3</v>
      </c>
      <c r="R339" s="7"/>
      <c r="S339" s="8"/>
    </row>
    <row r="340" spans="1:38" x14ac:dyDescent="0.2">
      <c r="A340" t="s">
        <v>1429</v>
      </c>
      <c r="B340" t="s">
        <v>1357</v>
      </c>
      <c r="C340" s="20" t="s">
        <v>1406</v>
      </c>
      <c r="D340" s="20" t="s">
        <v>1430</v>
      </c>
      <c r="E340" t="s">
        <v>1431</v>
      </c>
      <c r="H340" s="4" t="s">
        <v>1432</v>
      </c>
      <c r="I340" s="9" t="s">
        <v>1433</v>
      </c>
      <c r="J340" s="4" t="s">
        <v>1434</v>
      </c>
      <c r="K340" s="9"/>
      <c r="L340" s="6" t="s">
        <v>99</v>
      </c>
      <c r="M340" t="s">
        <v>64</v>
      </c>
      <c r="N340" s="6" t="s">
        <v>65</v>
      </c>
      <c r="O340" s="6">
        <v>2</v>
      </c>
      <c r="R340" s="7"/>
      <c r="AH340" s="8"/>
      <c r="AL340" s="3"/>
    </row>
    <row r="341" spans="1:38" ht="17.25" customHeight="1" x14ac:dyDescent="0.2">
      <c r="A341" t="s">
        <v>1435</v>
      </c>
      <c r="B341" t="s">
        <v>1357</v>
      </c>
      <c r="C341" s="20" t="s">
        <v>1406</v>
      </c>
      <c r="D341" s="20" t="s">
        <v>1436</v>
      </c>
      <c r="E341" t="s">
        <v>1422</v>
      </c>
      <c r="I341" s="3"/>
      <c r="J341" s="3"/>
      <c r="K341" s="3"/>
      <c r="L341" s="6" t="s">
        <v>99</v>
      </c>
      <c r="M341" t="s">
        <v>64</v>
      </c>
      <c r="N341" s="6" t="s">
        <v>65</v>
      </c>
      <c r="O341" s="6">
        <v>3</v>
      </c>
      <c r="R341" s="3"/>
      <c r="S341">
        <v>12.544791740000001</v>
      </c>
      <c r="T341" t="s">
        <v>66</v>
      </c>
      <c r="X341">
        <v>442</v>
      </c>
      <c r="Y341" t="s">
        <v>66</v>
      </c>
      <c r="AC341" t="s">
        <v>47</v>
      </c>
      <c r="AH341" s="8">
        <v>0.40420555499999999</v>
      </c>
      <c r="AI341" t="s">
        <v>66</v>
      </c>
    </row>
    <row r="342" spans="1:38" x14ac:dyDescent="0.2">
      <c r="A342" t="s">
        <v>1437</v>
      </c>
      <c r="B342" t="s">
        <v>1357</v>
      </c>
      <c r="C342" s="20" t="s">
        <v>1406</v>
      </c>
      <c r="D342" s="20" t="s">
        <v>1438</v>
      </c>
      <c r="E342" t="s">
        <v>1439</v>
      </c>
      <c r="H342" s="4"/>
      <c r="I342" s="4"/>
      <c r="J342" s="4"/>
      <c r="K342" s="9" t="s">
        <v>1440</v>
      </c>
      <c r="L342" s="6" t="s">
        <v>99</v>
      </c>
      <c r="M342" t="s">
        <v>64</v>
      </c>
      <c r="N342" s="6" t="s">
        <v>55</v>
      </c>
      <c r="O342" s="6">
        <v>2</v>
      </c>
      <c r="Q342" s="6" t="s">
        <v>74</v>
      </c>
      <c r="R342" s="7"/>
      <c r="S342">
        <v>16.21276701</v>
      </c>
      <c r="T342" t="s">
        <v>66</v>
      </c>
      <c r="X342" s="8">
        <v>91.5</v>
      </c>
      <c r="Y342" t="s">
        <v>66</v>
      </c>
      <c r="Z342" s="8">
        <v>136.26</v>
      </c>
      <c r="AA342">
        <v>11</v>
      </c>
      <c r="AF342">
        <v>10.760000000000002</v>
      </c>
      <c r="AG342">
        <v>7.92</v>
      </c>
      <c r="AH342" s="8">
        <v>0.48975750000000001</v>
      </c>
      <c r="AI342" t="s">
        <v>1441</v>
      </c>
    </row>
    <row r="343" spans="1:38" x14ac:dyDescent="0.2">
      <c r="A343" t="s">
        <v>1442</v>
      </c>
      <c r="B343" t="s">
        <v>1357</v>
      </c>
      <c r="C343" s="20" t="s">
        <v>1406</v>
      </c>
      <c r="D343" s="20" t="s">
        <v>1443</v>
      </c>
      <c r="E343" t="s">
        <v>1444</v>
      </c>
      <c r="H343" s="4"/>
      <c r="I343" s="4"/>
      <c r="J343" s="4"/>
      <c r="K343" s="9"/>
      <c r="L343" s="6" t="s">
        <v>99</v>
      </c>
      <c r="M343" t="s">
        <v>64</v>
      </c>
      <c r="N343" s="6" t="s">
        <v>65</v>
      </c>
      <c r="O343" s="6">
        <v>3</v>
      </c>
      <c r="R343" s="7"/>
      <c r="X343" s="8"/>
      <c r="Z343" s="8"/>
      <c r="AH343" s="8"/>
    </row>
    <row r="344" spans="1:38" x14ac:dyDescent="0.2">
      <c r="A344" t="s">
        <v>1445</v>
      </c>
      <c r="B344" t="s">
        <v>1357</v>
      </c>
      <c r="C344" s="20" t="s">
        <v>1406</v>
      </c>
      <c r="D344" s="20" t="s">
        <v>1446</v>
      </c>
      <c r="E344" t="s">
        <v>1447</v>
      </c>
      <c r="H344" t="s">
        <v>1448</v>
      </c>
      <c r="I344" s="3"/>
      <c r="J344" s="3"/>
      <c r="K344" s="3"/>
      <c r="L344" s="6" t="s">
        <v>99</v>
      </c>
      <c r="M344" t="s">
        <v>64</v>
      </c>
      <c r="N344" s="6" t="s">
        <v>65</v>
      </c>
      <c r="O344" s="6">
        <v>3</v>
      </c>
      <c r="R344" s="3"/>
      <c r="AC344" t="s">
        <v>47</v>
      </c>
    </row>
    <row r="345" spans="1:38" ht="14.25" customHeight="1" x14ac:dyDescent="0.2">
      <c r="A345" t="s">
        <v>1449</v>
      </c>
      <c r="B345" t="s">
        <v>1357</v>
      </c>
      <c r="C345" s="20" t="s">
        <v>1406</v>
      </c>
      <c r="D345" s="20" t="s">
        <v>364</v>
      </c>
      <c r="I345" s="3"/>
      <c r="J345" s="3"/>
      <c r="K345" s="3"/>
      <c r="L345" s="6" t="s">
        <v>99</v>
      </c>
      <c r="M345" t="s">
        <v>64</v>
      </c>
      <c r="N345" s="6" t="s">
        <v>65</v>
      </c>
      <c r="O345" s="6">
        <v>2</v>
      </c>
      <c r="R345" s="3"/>
    </row>
    <row r="346" spans="1:38" x14ac:dyDescent="0.2">
      <c r="A346" t="s">
        <v>1450</v>
      </c>
      <c r="B346" t="s">
        <v>1357</v>
      </c>
      <c r="C346" s="20" t="s">
        <v>1406</v>
      </c>
      <c r="D346" s="20" t="s">
        <v>1451</v>
      </c>
      <c r="E346" t="s">
        <v>1452</v>
      </c>
      <c r="I346" s="3"/>
      <c r="J346" s="3"/>
      <c r="K346" s="3"/>
      <c r="L346" s="6" t="s">
        <v>99</v>
      </c>
      <c r="M346" t="s">
        <v>64</v>
      </c>
      <c r="N346" s="6" t="s">
        <v>65</v>
      </c>
      <c r="O346" s="6">
        <v>3</v>
      </c>
      <c r="R346" s="3"/>
    </row>
    <row r="347" spans="1:38" x14ac:dyDescent="0.2">
      <c r="A347" t="s">
        <v>1453</v>
      </c>
      <c r="B347" t="s">
        <v>1357</v>
      </c>
      <c r="C347" s="20" t="s">
        <v>1454</v>
      </c>
      <c r="D347" s="20" t="s">
        <v>1131</v>
      </c>
      <c r="E347" t="s">
        <v>1455</v>
      </c>
      <c r="H347" s="4"/>
      <c r="I347" s="4"/>
      <c r="J347" s="4"/>
      <c r="K347" s="4"/>
      <c r="L347" s="6" t="s">
        <v>99</v>
      </c>
      <c r="M347" t="s">
        <v>64</v>
      </c>
      <c r="N347" s="6" t="s">
        <v>65</v>
      </c>
      <c r="O347" s="6">
        <v>4</v>
      </c>
      <c r="P347" s="6">
        <v>178</v>
      </c>
      <c r="R347" s="7"/>
      <c r="S347" s="8">
        <v>20.332863918154501</v>
      </c>
      <c r="T347" t="s">
        <v>1456</v>
      </c>
      <c r="AC347" t="s">
        <v>719</v>
      </c>
      <c r="AD347" s="17">
        <v>0.222857142857143</v>
      </c>
      <c r="AE347">
        <v>35</v>
      </c>
      <c r="AF347" s="8">
        <v>1.18</v>
      </c>
      <c r="AG347" s="8">
        <v>0.97</v>
      </c>
      <c r="AH347" s="8">
        <v>0.6</v>
      </c>
      <c r="AI347" t="s">
        <v>1457</v>
      </c>
    </row>
    <row r="348" spans="1:38" x14ac:dyDescent="0.2">
      <c r="A348" t="s">
        <v>1458</v>
      </c>
      <c r="B348" t="s">
        <v>1357</v>
      </c>
      <c r="C348" s="20" t="s">
        <v>1454</v>
      </c>
      <c r="D348" s="20" t="s">
        <v>1459</v>
      </c>
      <c r="E348" t="s">
        <v>1402</v>
      </c>
      <c r="H348" s="4"/>
      <c r="I348" s="4"/>
      <c r="J348" s="4"/>
      <c r="K348" s="4"/>
      <c r="L348" s="6" t="s">
        <v>99</v>
      </c>
      <c r="M348" t="s">
        <v>64</v>
      </c>
      <c r="N348" s="6" t="s">
        <v>55</v>
      </c>
      <c r="O348" s="6">
        <v>2</v>
      </c>
      <c r="R348" s="7"/>
      <c r="AC348" t="s">
        <v>47</v>
      </c>
      <c r="AH348" s="8">
        <v>0.39</v>
      </c>
      <c r="AI348" t="s">
        <v>1460</v>
      </c>
    </row>
    <row r="349" spans="1:38" x14ac:dyDescent="0.2">
      <c r="A349" t="s">
        <v>1461</v>
      </c>
      <c r="B349" t="s">
        <v>1357</v>
      </c>
      <c r="C349" s="20" t="s">
        <v>1454</v>
      </c>
      <c r="D349" s="20" t="s">
        <v>1443</v>
      </c>
      <c r="E349" t="s">
        <v>1462</v>
      </c>
      <c r="H349" s="9" t="s">
        <v>1463</v>
      </c>
      <c r="I349" s="4"/>
      <c r="J349" s="4"/>
      <c r="K349" s="4"/>
      <c r="L349" s="6" t="s">
        <v>99</v>
      </c>
      <c r="M349" t="s">
        <v>64</v>
      </c>
      <c r="N349" s="6" t="s">
        <v>65</v>
      </c>
      <c r="O349" s="6">
        <v>3</v>
      </c>
      <c r="R349" s="7"/>
      <c r="AC349" t="s">
        <v>47</v>
      </c>
    </row>
    <row r="350" spans="1:38" x14ac:dyDescent="0.2">
      <c r="A350" t="s">
        <v>1464</v>
      </c>
      <c r="B350" t="s">
        <v>1357</v>
      </c>
      <c r="C350" s="20" t="s">
        <v>1454</v>
      </c>
      <c r="D350" s="20" t="s">
        <v>1465</v>
      </c>
      <c r="E350" t="s">
        <v>1466</v>
      </c>
      <c r="H350" s="9"/>
      <c r="I350" s="4"/>
      <c r="J350" s="4"/>
      <c r="K350" s="4"/>
      <c r="L350" s="6" t="s">
        <v>99</v>
      </c>
      <c r="M350" t="s">
        <v>64</v>
      </c>
      <c r="N350" s="6" t="s">
        <v>65</v>
      </c>
      <c r="O350" s="6">
        <v>3</v>
      </c>
      <c r="R350" s="7"/>
    </row>
    <row r="351" spans="1:38" x14ac:dyDescent="0.2">
      <c r="A351" t="s">
        <v>1467</v>
      </c>
      <c r="B351" t="s">
        <v>1357</v>
      </c>
      <c r="C351" s="20" t="s">
        <v>1454</v>
      </c>
      <c r="D351" s="20" t="s">
        <v>364</v>
      </c>
      <c r="H351" s="4"/>
      <c r="I351" s="4"/>
      <c r="J351" s="4"/>
      <c r="K351" s="4"/>
      <c r="L351" s="6" t="s">
        <v>99</v>
      </c>
      <c r="M351" t="s">
        <v>64</v>
      </c>
      <c r="N351" s="6" t="s">
        <v>55</v>
      </c>
      <c r="O351" s="6">
        <v>2</v>
      </c>
      <c r="R351" s="7"/>
      <c r="AH351" s="8"/>
    </row>
    <row r="352" spans="1:38" x14ac:dyDescent="0.2">
      <c r="A352" t="s">
        <v>1468</v>
      </c>
      <c r="B352" t="s">
        <v>1357</v>
      </c>
      <c r="C352" s="20" t="s">
        <v>1469</v>
      </c>
      <c r="D352" s="20" t="s">
        <v>1470</v>
      </c>
      <c r="E352" t="s">
        <v>1471</v>
      </c>
      <c r="F352">
        <v>1</v>
      </c>
      <c r="H352" s="4"/>
      <c r="I352" s="4"/>
      <c r="J352" s="4"/>
      <c r="K352" s="4"/>
      <c r="L352" s="6" t="s">
        <v>99</v>
      </c>
      <c r="M352" t="s">
        <v>64</v>
      </c>
      <c r="N352" s="6" t="s">
        <v>65</v>
      </c>
      <c r="O352" s="6">
        <v>3</v>
      </c>
      <c r="R352" s="7"/>
      <c r="AH352" s="8"/>
    </row>
    <row r="353" spans="1:38" x14ac:dyDescent="0.2">
      <c r="A353" t="s">
        <v>1472</v>
      </c>
      <c r="B353" t="s">
        <v>1357</v>
      </c>
      <c r="H353" s="25" t="s">
        <v>2752</v>
      </c>
      <c r="I353" t="s">
        <v>1473</v>
      </c>
      <c r="J353" t="s">
        <v>1474</v>
      </c>
      <c r="L353" s="6" t="s">
        <v>99</v>
      </c>
      <c r="M353" t="s">
        <v>64</v>
      </c>
      <c r="N353" s="6" t="s">
        <v>65</v>
      </c>
      <c r="O353" s="6">
        <v>3</v>
      </c>
      <c r="R353" s="3"/>
    </row>
    <row r="354" spans="1:38" x14ac:dyDescent="0.2">
      <c r="A354" t="s">
        <v>1475</v>
      </c>
      <c r="B354" t="s">
        <v>1357</v>
      </c>
      <c r="E354" t="s">
        <v>188</v>
      </c>
      <c r="H354" s="25" t="s">
        <v>2753</v>
      </c>
      <c r="I354" t="s">
        <v>1476</v>
      </c>
      <c r="J354" s="3"/>
      <c r="L354" s="6" t="s">
        <v>99</v>
      </c>
      <c r="M354" t="s">
        <v>64</v>
      </c>
      <c r="N354" s="6" t="s">
        <v>65</v>
      </c>
      <c r="O354" s="6">
        <v>3</v>
      </c>
      <c r="R354" s="3"/>
    </row>
    <row r="355" spans="1:38" x14ac:dyDescent="0.2">
      <c r="A355" s="55" t="s">
        <v>2769</v>
      </c>
      <c r="B355" s="55" t="s">
        <v>1357</v>
      </c>
      <c r="C355" s="73"/>
      <c r="D355" s="73"/>
      <c r="E355" s="55"/>
      <c r="F355" s="55"/>
      <c r="G355" s="55"/>
      <c r="H355" s="60" t="s">
        <v>2770</v>
      </c>
      <c r="I355" s="55"/>
      <c r="J355" s="56"/>
      <c r="K355" s="55"/>
      <c r="L355" s="59" t="s">
        <v>99</v>
      </c>
      <c r="M355" s="55" t="s">
        <v>64</v>
      </c>
      <c r="N355" s="59" t="s">
        <v>65</v>
      </c>
      <c r="O355" s="59">
        <v>3</v>
      </c>
      <c r="R355" s="3"/>
    </row>
    <row r="356" spans="1:38" x14ac:dyDescent="0.2">
      <c r="A356" t="s">
        <v>1477</v>
      </c>
      <c r="B356" t="s">
        <v>1357</v>
      </c>
      <c r="J356" s="3"/>
      <c r="L356" s="6" t="s">
        <v>99</v>
      </c>
      <c r="M356" t="s">
        <v>64</v>
      </c>
      <c r="N356" s="6" t="s">
        <v>65</v>
      </c>
      <c r="O356" s="6">
        <v>3</v>
      </c>
      <c r="R356" s="3"/>
    </row>
    <row r="357" spans="1:38" x14ac:dyDescent="0.2">
      <c r="A357" t="s">
        <v>1478</v>
      </c>
      <c r="B357" t="s">
        <v>1479</v>
      </c>
      <c r="C357" s="20" t="s">
        <v>1480</v>
      </c>
      <c r="D357" s="20" t="s">
        <v>1481</v>
      </c>
      <c r="E357" t="s">
        <v>1482</v>
      </c>
      <c r="H357" s="9" t="s">
        <v>1483</v>
      </c>
      <c r="I357" s="3"/>
      <c r="J357" s="9"/>
      <c r="K357" s="9"/>
      <c r="L357" s="5" t="s">
        <v>279</v>
      </c>
      <c r="M357" t="s">
        <v>64</v>
      </c>
      <c r="N357" s="6" t="s">
        <v>46</v>
      </c>
      <c r="O357" s="6">
        <v>1</v>
      </c>
      <c r="P357"/>
      <c r="Q357" s="6" t="s">
        <v>74</v>
      </c>
      <c r="R357" s="7"/>
    </row>
    <row r="358" spans="1:38" x14ac:dyDescent="0.2">
      <c r="A358" t="s">
        <v>1484</v>
      </c>
      <c r="B358" t="s">
        <v>1479</v>
      </c>
      <c r="C358" s="20" t="s">
        <v>1485</v>
      </c>
      <c r="D358" s="20" t="s">
        <v>1486</v>
      </c>
      <c r="E358" t="s">
        <v>1487</v>
      </c>
      <c r="H358" t="s">
        <v>1488</v>
      </c>
      <c r="I358" s="3" t="s">
        <v>1489</v>
      </c>
      <c r="L358" s="5" t="s">
        <v>279</v>
      </c>
      <c r="M358" t="s">
        <v>64</v>
      </c>
      <c r="N358" s="6" t="s">
        <v>55</v>
      </c>
      <c r="O358" s="6">
        <v>2</v>
      </c>
      <c r="P358"/>
      <c r="Q358" s="6" t="s">
        <v>74</v>
      </c>
    </row>
    <row r="359" spans="1:38" x14ac:dyDescent="0.2">
      <c r="A359" t="s">
        <v>1490</v>
      </c>
      <c r="B359" t="s">
        <v>1479</v>
      </c>
      <c r="C359" s="20" t="s">
        <v>1489</v>
      </c>
      <c r="D359" s="20" t="s">
        <v>187</v>
      </c>
      <c r="E359" t="s">
        <v>188</v>
      </c>
      <c r="I359" s="3"/>
      <c r="J359" s="3"/>
      <c r="L359" s="5" t="s">
        <v>279</v>
      </c>
      <c r="M359" t="s">
        <v>64</v>
      </c>
      <c r="N359" s="6" t="s">
        <v>55</v>
      </c>
      <c r="O359" s="6">
        <v>2</v>
      </c>
      <c r="P359" s="6">
        <v>146</v>
      </c>
      <c r="R359" s="3"/>
    </row>
    <row r="360" spans="1:38" x14ac:dyDescent="0.2">
      <c r="A360" t="s">
        <v>1491</v>
      </c>
      <c r="B360" t="s">
        <v>1492</v>
      </c>
      <c r="C360" s="20" t="s">
        <v>1493</v>
      </c>
      <c r="D360" s="20" t="s">
        <v>187</v>
      </c>
      <c r="E360" t="s">
        <v>188</v>
      </c>
      <c r="I360" s="3"/>
      <c r="J360" s="3"/>
      <c r="L360" s="5" t="s">
        <v>44</v>
      </c>
      <c r="M360" t="s">
        <v>207</v>
      </c>
      <c r="N360" s="6" t="s">
        <v>46</v>
      </c>
      <c r="O360" s="6" t="s">
        <v>208</v>
      </c>
      <c r="P360"/>
      <c r="R360" s="3"/>
    </row>
    <row r="361" spans="1:38" x14ac:dyDescent="0.2">
      <c r="A361" t="s">
        <v>1494</v>
      </c>
      <c r="B361" t="s">
        <v>1495</v>
      </c>
      <c r="C361" s="20" t="s">
        <v>1496</v>
      </c>
      <c r="D361" s="20" t="s">
        <v>917</v>
      </c>
      <c r="E361" t="s">
        <v>1497</v>
      </c>
      <c r="I361" s="3"/>
      <c r="J361" s="3"/>
      <c r="L361" s="5" t="s">
        <v>44</v>
      </c>
      <c r="M361" t="s">
        <v>45</v>
      </c>
      <c r="N361" s="6" t="s">
        <v>46</v>
      </c>
      <c r="O361" s="6">
        <v>1</v>
      </c>
      <c r="P361"/>
      <c r="R361" s="3"/>
      <c r="AL361" s="17"/>
    </row>
    <row r="362" spans="1:38" x14ac:dyDescent="0.2">
      <c r="A362" t="s">
        <v>1498</v>
      </c>
      <c r="B362" t="s">
        <v>1499</v>
      </c>
      <c r="C362" s="20" t="s">
        <v>1500</v>
      </c>
      <c r="D362" s="20" t="s">
        <v>1501</v>
      </c>
      <c r="E362" t="s">
        <v>1502</v>
      </c>
      <c r="L362" s="6" t="s">
        <v>99</v>
      </c>
      <c r="M362" t="s">
        <v>64</v>
      </c>
      <c r="N362" s="6" t="s">
        <v>65</v>
      </c>
      <c r="O362" s="6">
        <v>3</v>
      </c>
      <c r="P362"/>
    </row>
    <row r="363" spans="1:38" x14ac:dyDescent="0.2">
      <c r="A363" t="s">
        <v>1503</v>
      </c>
      <c r="B363" t="s">
        <v>1499</v>
      </c>
      <c r="C363" s="20" t="s">
        <v>1500</v>
      </c>
      <c r="D363" s="20" t="s">
        <v>1504</v>
      </c>
      <c r="E363" t="s">
        <v>1505</v>
      </c>
      <c r="H363" t="s">
        <v>1506</v>
      </c>
      <c r="L363" s="6" t="s">
        <v>94</v>
      </c>
      <c r="M363" t="s">
        <v>64</v>
      </c>
      <c r="N363" s="6" t="s">
        <v>65</v>
      </c>
      <c r="O363" s="6">
        <v>3</v>
      </c>
      <c r="P363"/>
    </row>
    <row r="364" spans="1:38" x14ac:dyDescent="0.2">
      <c r="A364" t="s">
        <v>1507</v>
      </c>
      <c r="B364" t="s">
        <v>1499</v>
      </c>
      <c r="C364" s="20" t="s">
        <v>1508</v>
      </c>
      <c r="D364" s="20" t="s">
        <v>1509</v>
      </c>
      <c r="E364" t="s">
        <v>1510</v>
      </c>
      <c r="I364" t="s">
        <v>1511</v>
      </c>
      <c r="L364" s="6" t="s">
        <v>99</v>
      </c>
      <c r="M364" t="s">
        <v>64</v>
      </c>
      <c r="N364" s="6" t="s">
        <v>46</v>
      </c>
      <c r="O364" s="6">
        <v>2</v>
      </c>
      <c r="P364"/>
      <c r="Q364" s="6" t="s">
        <v>74</v>
      </c>
      <c r="S364">
        <v>8</v>
      </c>
      <c r="T364" t="s">
        <v>1512</v>
      </c>
      <c r="AH364" s="8">
        <v>0.58450182399999995</v>
      </c>
      <c r="AI364" t="s">
        <v>66</v>
      </c>
    </row>
    <row r="365" spans="1:38" x14ac:dyDescent="0.2">
      <c r="A365" s="55" t="s">
        <v>2762</v>
      </c>
      <c r="B365" s="55" t="s">
        <v>1499</v>
      </c>
      <c r="C365" s="73" t="s">
        <v>2763</v>
      </c>
      <c r="D365" s="73" t="s">
        <v>772</v>
      </c>
      <c r="E365" s="55"/>
      <c r="F365" s="55"/>
      <c r="G365" s="55"/>
      <c r="H365" s="55"/>
      <c r="I365" s="55"/>
      <c r="J365" s="55"/>
      <c r="K365" s="55"/>
      <c r="L365" s="59" t="s">
        <v>117</v>
      </c>
      <c r="M365" s="55" t="s">
        <v>54</v>
      </c>
      <c r="N365" s="59" t="s">
        <v>65</v>
      </c>
      <c r="O365" s="59">
        <v>3</v>
      </c>
      <c r="P365"/>
      <c r="AH365" s="8"/>
    </row>
    <row r="366" spans="1:38" x14ac:dyDescent="0.2">
      <c r="A366" t="s">
        <v>1513</v>
      </c>
      <c r="B366" t="s">
        <v>1499</v>
      </c>
      <c r="C366" s="20" t="s">
        <v>1514</v>
      </c>
      <c r="D366" s="20" t="s">
        <v>1515</v>
      </c>
      <c r="E366" t="s">
        <v>1516</v>
      </c>
      <c r="K366" t="s">
        <v>73</v>
      </c>
      <c r="L366" s="5" t="s">
        <v>117</v>
      </c>
      <c r="M366" t="s">
        <v>207</v>
      </c>
      <c r="N366" s="6" t="s">
        <v>65</v>
      </c>
      <c r="O366" s="6">
        <v>2</v>
      </c>
      <c r="P366"/>
      <c r="Q366" s="6" t="s">
        <v>74</v>
      </c>
      <c r="AH366" s="8"/>
    </row>
    <row r="367" spans="1:38" x14ac:dyDescent="0.2">
      <c r="A367" t="s">
        <v>1517</v>
      </c>
      <c r="B367" t="s">
        <v>1499</v>
      </c>
      <c r="C367" s="20" t="s">
        <v>1518</v>
      </c>
      <c r="D367" s="20" t="s">
        <v>1519</v>
      </c>
      <c r="E367" t="s">
        <v>1520</v>
      </c>
      <c r="K367" t="s">
        <v>73</v>
      </c>
      <c r="L367" s="5" t="s">
        <v>117</v>
      </c>
      <c r="M367" t="s">
        <v>207</v>
      </c>
      <c r="N367" s="6" t="s">
        <v>65</v>
      </c>
      <c r="O367" s="6">
        <v>2</v>
      </c>
      <c r="P367"/>
      <c r="Q367" s="6" t="s">
        <v>74</v>
      </c>
      <c r="AH367" s="8"/>
    </row>
    <row r="368" spans="1:38" x14ac:dyDescent="0.2">
      <c r="A368" t="s">
        <v>1521</v>
      </c>
      <c r="B368" t="s">
        <v>1522</v>
      </c>
      <c r="C368" s="20" t="s">
        <v>1523</v>
      </c>
      <c r="D368" s="20" t="s">
        <v>1524</v>
      </c>
      <c r="E368" t="s">
        <v>1525</v>
      </c>
      <c r="L368" s="5" t="s">
        <v>81</v>
      </c>
      <c r="M368" t="s">
        <v>54</v>
      </c>
      <c r="N368" s="6" t="s">
        <v>46</v>
      </c>
      <c r="O368" s="6">
        <v>1</v>
      </c>
      <c r="P368"/>
      <c r="AL368" s="3"/>
    </row>
    <row r="369" spans="1:38" x14ac:dyDescent="0.2">
      <c r="A369" t="s">
        <v>1526</v>
      </c>
      <c r="B369" t="s">
        <v>1522</v>
      </c>
      <c r="C369" s="20" t="s">
        <v>1527</v>
      </c>
      <c r="D369" s="20" t="s">
        <v>1528</v>
      </c>
      <c r="E369" t="s">
        <v>679</v>
      </c>
      <c r="H369" s="4"/>
      <c r="I369" s="4"/>
      <c r="J369" s="4"/>
      <c r="K369" s="4"/>
      <c r="L369" s="6" t="s">
        <v>99</v>
      </c>
      <c r="M369" t="s">
        <v>64</v>
      </c>
      <c r="N369" s="6" t="s">
        <v>46</v>
      </c>
      <c r="O369" s="6">
        <v>1</v>
      </c>
      <c r="P369"/>
      <c r="Q369" s="6" t="s">
        <v>74</v>
      </c>
      <c r="R369" s="7"/>
      <c r="S369">
        <v>17.198016320000001</v>
      </c>
      <c r="T369" t="s">
        <v>66</v>
      </c>
      <c r="U369" s="18">
        <v>19.801481466756201</v>
      </c>
      <c r="V369" s="18">
        <v>56.583828784624899</v>
      </c>
      <c r="W369">
        <v>6</v>
      </c>
      <c r="X369" s="8">
        <v>59.9443299</v>
      </c>
      <c r="Y369" t="s">
        <v>88</v>
      </c>
      <c r="Z369" s="17">
        <v>55.606666500000003</v>
      </c>
      <c r="AA369">
        <v>8</v>
      </c>
      <c r="AF369" s="8">
        <v>5.8875000000000002</v>
      </c>
      <c r="AG369" s="8">
        <v>4.3624999999999998</v>
      </c>
      <c r="AH369" s="8">
        <v>0.245</v>
      </c>
      <c r="AI369" t="s">
        <v>1529</v>
      </c>
    </row>
    <row r="370" spans="1:38" x14ac:dyDescent="0.2">
      <c r="A370" t="s">
        <v>1530</v>
      </c>
      <c r="B370" t="s">
        <v>1522</v>
      </c>
      <c r="C370" s="20" t="s">
        <v>1531</v>
      </c>
      <c r="D370" s="20" t="s">
        <v>1532</v>
      </c>
      <c r="E370" t="s">
        <v>85</v>
      </c>
      <c r="H370" t="s">
        <v>2755</v>
      </c>
      <c r="I370" s="4"/>
      <c r="J370" s="4"/>
      <c r="K370" s="9" t="s">
        <v>460</v>
      </c>
      <c r="L370" s="6" t="s">
        <v>99</v>
      </c>
      <c r="M370" t="s">
        <v>207</v>
      </c>
      <c r="N370" s="6" t="s">
        <v>46</v>
      </c>
      <c r="O370" s="6">
        <v>1</v>
      </c>
      <c r="P370"/>
      <c r="R370" s="7"/>
      <c r="S370">
        <v>36.778232989999999</v>
      </c>
      <c r="T370" t="s">
        <v>66</v>
      </c>
      <c r="AB370">
        <v>0.79544000000000004</v>
      </c>
      <c r="AC370" t="s">
        <v>1533</v>
      </c>
      <c r="AH370" s="8">
        <v>0.283312114</v>
      </c>
      <c r="AI370" t="s">
        <v>1534</v>
      </c>
    </row>
    <row r="371" spans="1:38" x14ac:dyDescent="0.2">
      <c r="A371" t="s">
        <v>1535</v>
      </c>
      <c r="B371" t="s">
        <v>1522</v>
      </c>
      <c r="C371" s="20" t="s">
        <v>1531</v>
      </c>
      <c r="D371" s="20" t="s">
        <v>1536</v>
      </c>
      <c r="E371" t="s">
        <v>1537</v>
      </c>
      <c r="H371" t="s">
        <v>2755</v>
      </c>
      <c r="I371" s="9" t="s">
        <v>1538</v>
      </c>
      <c r="J371" s="4"/>
      <c r="K371" s="9"/>
      <c r="L371" s="6" t="s">
        <v>99</v>
      </c>
      <c r="M371" t="s">
        <v>207</v>
      </c>
      <c r="N371" s="6" t="s">
        <v>46</v>
      </c>
      <c r="O371" s="6">
        <v>1</v>
      </c>
      <c r="P371" s="6">
        <v>204</v>
      </c>
      <c r="Q371" s="6" t="s">
        <v>74</v>
      </c>
      <c r="R371" s="7"/>
      <c r="S371" s="8">
        <v>18.455304000000002</v>
      </c>
      <c r="T371" t="s">
        <v>1539</v>
      </c>
      <c r="U371" s="18">
        <v>28.966611232173499</v>
      </c>
      <c r="V371" s="18">
        <v>38.3846368772628</v>
      </c>
      <c r="W371">
        <v>10</v>
      </c>
      <c r="Z371">
        <v>3.4969999999999999</v>
      </c>
      <c r="AA371">
        <v>74</v>
      </c>
      <c r="AB371">
        <v>1.351</v>
      </c>
      <c r="AC371" t="s">
        <v>1533</v>
      </c>
      <c r="AD371" s="17">
        <v>2.23</v>
      </c>
      <c r="AE371">
        <v>10</v>
      </c>
      <c r="AF371" s="8">
        <v>12.02</v>
      </c>
      <c r="AG371" s="8">
        <v>7.84</v>
      </c>
      <c r="AH371" s="8">
        <v>0.19</v>
      </c>
      <c r="AI371" t="s">
        <v>1540</v>
      </c>
    </row>
    <row r="372" spans="1:38" ht="16" x14ac:dyDescent="0.2">
      <c r="A372" t="s">
        <v>1541</v>
      </c>
      <c r="B372" t="s">
        <v>1522</v>
      </c>
      <c r="C372" s="72" t="s">
        <v>1542</v>
      </c>
      <c r="D372" s="20" t="s">
        <v>1543</v>
      </c>
      <c r="E372" t="s">
        <v>1544</v>
      </c>
      <c r="H372" s="9"/>
      <c r="I372" s="9"/>
      <c r="J372" s="9"/>
      <c r="K372" s="9"/>
      <c r="L372" s="5" t="s">
        <v>81</v>
      </c>
      <c r="M372" t="s">
        <v>64</v>
      </c>
      <c r="N372" s="6" t="s">
        <v>46</v>
      </c>
      <c r="O372" s="6">
        <v>2</v>
      </c>
      <c r="R372" s="7"/>
      <c r="S372" s="8"/>
      <c r="X372" s="8"/>
    </row>
    <row r="373" spans="1:38" ht="18.75" customHeight="1" x14ac:dyDescent="0.2">
      <c r="A373" t="s">
        <v>1545</v>
      </c>
      <c r="B373" t="s">
        <v>1522</v>
      </c>
      <c r="C373" s="20" t="s">
        <v>1546</v>
      </c>
      <c r="D373" s="20" t="s">
        <v>1547</v>
      </c>
      <c r="E373" t="s">
        <v>690</v>
      </c>
      <c r="H373" t="s">
        <v>1548</v>
      </c>
      <c r="I373" s="13" t="s">
        <v>1549</v>
      </c>
      <c r="J373" s="3"/>
      <c r="K373" s="9" t="s">
        <v>460</v>
      </c>
      <c r="L373" s="5" t="s">
        <v>44</v>
      </c>
      <c r="M373" t="s">
        <v>54</v>
      </c>
      <c r="N373" s="6" t="s">
        <v>46</v>
      </c>
      <c r="O373" s="6">
        <v>1</v>
      </c>
      <c r="P373"/>
      <c r="R373" s="3"/>
    </row>
    <row r="374" spans="1:38" ht="16.5" customHeight="1" x14ac:dyDescent="0.2">
      <c r="A374" t="s">
        <v>1550</v>
      </c>
      <c r="B374" t="s">
        <v>1522</v>
      </c>
      <c r="C374" s="38" t="s">
        <v>1551</v>
      </c>
      <c r="D374" s="20" t="s">
        <v>1552</v>
      </c>
      <c r="E374" t="s">
        <v>1553</v>
      </c>
      <c r="I374" t="s">
        <v>1558</v>
      </c>
      <c r="L374" s="5" t="s">
        <v>94</v>
      </c>
      <c r="M374" t="s">
        <v>54</v>
      </c>
      <c r="N374" s="6" t="s">
        <v>65</v>
      </c>
      <c r="O374" s="6">
        <v>2</v>
      </c>
      <c r="P374"/>
    </row>
    <row r="375" spans="1:38" x14ac:dyDescent="0.2">
      <c r="A375" t="s">
        <v>1554</v>
      </c>
      <c r="B375" t="s">
        <v>1522</v>
      </c>
      <c r="C375" s="20" t="s">
        <v>1555</v>
      </c>
      <c r="D375" s="20" t="s">
        <v>1556</v>
      </c>
      <c r="E375" t="s">
        <v>1557</v>
      </c>
      <c r="L375" s="5" t="s">
        <v>44</v>
      </c>
      <c r="M375" t="s">
        <v>112</v>
      </c>
      <c r="N375" s="6" t="s">
        <v>65</v>
      </c>
      <c r="O375" s="6">
        <v>1</v>
      </c>
      <c r="P375"/>
      <c r="AL375" s="3"/>
    </row>
    <row r="376" spans="1:38" x14ac:dyDescent="0.2">
      <c r="A376" t="s">
        <v>1560</v>
      </c>
      <c r="B376" t="s">
        <v>1522</v>
      </c>
      <c r="C376" s="20" t="s">
        <v>1559</v>
      </c>
      <c r="D376" s="20" t="s">
        <v>1561</v>
      </c>
      <c r="E376" t="s">
        <v>1562</v>
      </c>
      <c r="I376" s="3"/>
      <c r="J376" s="3"/>
      <c r="K376" s="3"/>
      <c r="L376" s="6" t="s">
        <v>99</v>
      </c>
      <c r="M376" t="s">
        <v>64</v>
      </c>
      <c r="N376" s="6" t="s">
        <v>65</v>
      </c>
      <c r="O376" s="6">
        <v>4</v>
      </c>
      <c r="P376"/>
      <c r="R376" s="3"/>
    </row>
    <row r="377" spans="1:38" x14ac:dyDescent="0.2">
      <c r="A377" t="s">
        <v>1563</v>
      </c>
      <c r="B377" t="s">
        <v>1522</v>
      </c>
      <c r="C377" s="20" t="s">
        <v>1564</v>
      </c>
      <c r="D377" s="20" t="s">
        <v>1565</v>
      </c>
      <c r="E377" t="s">
        <v>843</v>
      </c>
      <c r="I377" s="3"/>
      <c r="J377" s="3"/>
      <c r="L377" s="5" t="s">
        <v>44</v>
      </c>
      <c r="M377" t="s">
        <v>54</v>
      </c>
      <c r="N377" s="6" t="s">
        <v>46</v>
      </c>
      <c r="O377" s="6">
        <v>1</v>
      </c>
      <c r="P377"/>
      <c r="R377" s="3"/>
      <c r="S377" s="8">
        <v>15.402273965183801</v>
      </c>
      <c r="T377" t="s">
        <v>88</v>
      </c>
      <c r="X377" s="8">
        <v>1.5468310981995299</v>
      </c>
      <c r="Y377" t="s">
        <v>88</v>
      </c>
    </row>
    <row r="378" spans="1:38" x14ac:dyDescent="0.2">
      <c r="A378" t="s">
        <v>1566</v>
      </c>
      <c r="B378" t="s">
        <v>1522</v>
      </c>
      <c r="C378" s="20" t="s">
        <v>1564</v>
      </c>
      <c r="D378" s="20" t="s">
        <v>1567</v>
      </c>
      <c r="E378" t="s">
        <v>85</v>
      </c>
      <c r="I378" s="3"/>
      <c r="J378" s="3"/>
      <c r="L378" s="5" t="s">
        <v>44</v>
      </c>
      <c r="M378" t="s">
        <v>54</v>
      </c>
      <c r="N378" s="6" t="s">
        <v>46</v>
      </c>
      <c r="O378" s="6">
        <v>1</v>
      </c>
      <c r="P378"/>
      <c r="R378" s="3"/>
      <c r="S378">
        <v>8.7554309749999994</v>
      </c>
      <c r="T378" t="s">
        <v>66</v>
      </c>
    </row>
    <row r="379" spans="1:38" x14ac:dyDescent="0.2">
      <c r="A379" t="s">
        <v>1568</v>
      </c>
      <c r="B379" t="s">
        <v>1522</v>
      </c>
      <c r="C379" s="20" t="s">
        <v>1564</v>
      </c>
      <c r="D379" s="20" t="s">
        <v>364</v>
      </c>
      <c r="E379" t="s">
        <v>188</v>
      </c>
      <c r="I379" s="3"/>
      <c r="J379" s="3"/>
      <c r="L379" s="5" t="s">
        <v>44</v>
      </c>
      <c r="M379" t="s">
        <v>54</v>
      </c>
      <c r="N379" s="6" t="s">
        <v>46</v>
      </c>
      <c r="O379" s="6">
        <v>1</v>
      </c>
      <c r="P379"/>
      <c r="R379" s="3"/>
      <c r="AL379" s="3"/>
    </row>
    <row r="380" spans="1:38" x14ac:dyDescent="0.2">
      <c r="A380" t="s">
        <v>1569</v>
      </c>
      <c r="B380" t="s">
        <v>1522</v>
      </c>
      <c r="C380" s="20" t="s">
        <v>1570</v>
      </c>
      <c r="D380" s="20" t="s">
        <v>1571</v>
      </c>
      <c r="E380" t="s">
        <v>553</v>
      </c>
      <c r="H380" s="9" t="s">
        <v>1572</v>
      </c>
      <c r="I380" s="13"/>
      <c r="J380" s="4"/>
      <c r="K380" s="9" t="s">
        <v>1573</v>
      </c>
      <c r="L380" s="5" t="s">
        <v>81</v>
      </c>
      <c r="M380" t="s">
        <v>112</v>
      </c>
      <c r="N380" s="6" t="s">
        <v>46</v>
      </c>
      <c r="O380" s="6">
        <v>2</v>
      </c>
      <c r="P380"/>
      <c r="Q380" s="6" t="s">
        <v>74</v>
      </c>
      <c r="R380" s="7"/>
      <c r="Z380" s="17">
        <v>24.6</v>
      </c>
      <c r="AA380" s="18">
        <v>2</v>
      </c>
      <c r="AF380" s="17">
        <v>4.4000000000000004</v>
      </c>
      <c r="AG380" s="17">
        <v>3.8</v>
      </c>
    </row>
    <row r="381" spans="1:38" x14ac:dyDescent="0.2">
      <c r="A381" t="s">
        <v>1574</v>
      </c>
      <c r="B381" t="s">
        <v>1575</v>
      </c>
      <c r="C381" s="20" t="s">
        <v>1576</v>
      </c>
      <c r="D381" s="20" t="s">
        <v>1577</v>
      </c>
      <c r="E381" t="s">
        <v>1578</v>
      </c>
      <c r="H381" s="4"/>
      <c r="I381" s="9"/>
      <c r="J381" s="4"/>
      <c r="K381" s="9" t="s">
        <v>1579</v>
      </c>
      <c r="L381" s="5" t="s">
        <v>44</v>
      </c>
      <c r="M381" t="s">
        <v>64</v>
      </c>
      <c r="N381" s="6" t="s">
        <v>55</v>
      </c>
      <c r="O381" s="6">
        <v>1</v>
      </c>
      <c r="P381"/>
      <c r="Q381" s="6" t="s">
        <v>74</v>
      </c>
      <c r="R381" s="7"/>
      <c r="Z381" s="17">
        <v>21.65</v>
      </c>
      <c r="AA381" s="18">
        <v>10</v>
      </c>
      <c r="AB381" s="18"/>
      <c r="AC381" s="18"/>
      <c r="AD381" s="17"/>
      <c r="AE381" s="18"/>
      <c r="AF381" s="8">
        <v>5.52</v>
      </c>
      <c r="AG381" s="8">
        <v>3.56</v>
      </c>
    </row>
    <row r="382" spans="1:38" x14ac:dyDescent="0.2">
      <c r="A382" t="s">
        <v>1580</v>
      </c>
      <c r="B382" t="s">
        <v>1575</v>
      </c>
      <c r="C382" s="20" t="s">
        <v>1576</v>
      </c>
      <c r="D382" s="20" t="s">
        <v>1581</v>
      </c>
      <c r="E382" t="s">
        <v>1582</v>
      </c>
      <c r="L382" s="5" t="s">
        <v>44</v>
      </c>
      <c r="M382" t="s">
        <v>64</v>
      </c>
      <c r="N382" s="6" t="s">
        <v>55</v>
      </c>
      <c r="O382" s="6">
        <v>2</v>
      </c>
      <c r="P382"/>
    </row>
    <row r="383" spans="1:38" x14ac:dyDescent="0.2">
      <c r="A383" t="s">
        <v>1583</v>
      </c>
      <c r="B383" t="s">
        <v>1575</v>
      </c>
      <c r="C383" s="20" t="s">
        <v>1576</v>
      </c>
      <c r="D383" s="20" t="s">
        <v>364</v>
      </c>
      <c r="E383" t="s">
        <v>188</v>
      </c>
      <c r="I383" s="3"/>
      <c r="J383" s="3"/>
      <c r="L383" s="5" t="s">
        <v>44</v>
      </c>
      <c r="M383" t="s">
        <v>64</v>
      </c>
      <c r="N383" s="6" t="s">
        <v>55</v>
      </c>
      <c r="O383" s="6">
        <v>1</v>
      </c>
      <c r="P383"/>
      <c r="R383" s="3"/>
    </row>
    <row r="384" spans="1:38" x14ac:dyDescent="0.2">
      <c r="A384" t="s">
        <v>1584</v>
      </c>
      <c r="B384" t="s">
        <v>1585</v>
      </c>
      <c r="C384" s="20" t="s">
        <v>1586</v>
      </c>
      <c r="D384" s="20" t="s">
        <v>1587</v>
      </c>
      <c r="E384" t="s">
        <v>1588</v>
      </c>
      <c r="I384" t="s">
        <v>1589</v>
      </c>
      <c r="J384" s="3"/>
      <c r="L384" s="5" t="s">
        <v>117</v>
      </c>
      <c r="M384" t="s">
        <v>64</v>
      </c>
      <c r="N384" s="6" t="s">
        <v>65</v>
      </c>
      <c r="O384" s="6">
        <v>1</v>
      </c>
      <c r="P384"/>
      <c r="R384" s="3"/>
    </row>
    <row r="385" spans="1:39" x14ac:dyDescent="0.2">
      <c r="A385" t="s">
        <v>1590</v>
      </c>
      <c r="B385" t="s">
        <v>1591</v>
      </c>
      <c r="C385" s="20" t="s">
        <v>1592</v>
      </c>
      <c r="D385" s="20" t="s">
        <v>1593</v>
      </c>
      <c r="E385" t="s">
        <v>1594</v>
      </c>
      <c r="I385" s="3"/>
      <c r="J385" s="3"/>
      <c r="L385" s="6" t="s">
        <v>44</v>
      </c>
      <c r="M385" t="s">
        <v>54</v>
      </c>
      <c r="N385" s="6" t="s">
        <v>46</v>
      </c>
      <c r="O385" s="6">
        <v>1</v>
      </c>
      <c r="P385"/>
      <c r="R385" s="3"/>
    </row>
    <row r="386" spans="1:39" x14ac:dyDescent="0.2">
      <c r="A386" t="s">
        <v>1595</v>
      </c>
      <c r="B386" t="s">
        <v>1596</v>
      </c>
      <c r="C386" s="20" t="s">
        <v>1597</v>
      </c>
      <c r="D386" s="20" t="s">
        <v>1598</v>
      </c>
      <c r="E386" t="s">
        <v>1599</v>
      </c>
      <c r="H386" s="4"/>
      <c r="I386" s="9"/>
      <c r="J386" s="4"/>
      <c r="K386" s="9" t="s">
        <v>1600</v>
      </c>
      <c r="L386" s="5" t="s">
        <v>44</v>
      </c>
      <c r="M386" t="s">
        <v>64</v>
      </c>
      <c r="N386" s="6" t="s">
        <v>46</v>
      </c>
      <c r="O386" s="6">
        <v>1</v>
      </c>
      <c r="P386"/>
      <c r="R386" s="7"/>
    </row>
    <row r="387" spans="1:39" x14ac:dyDescent="0.2">
      <c r="A387" t="s">
        <v>1601</v>
      </c>
      <c r="B387" t="s">
        <v>1596</v>
      </c>
      <c r="C387" s="20" t="s">
        <v>1602</v>
      </c>
      <c r="D387" s="20" t="s">
        <v>1603</v>
      </c>
      <c r="E387" t="s">
        <v>1604</v>
      </c>
      <c r="H387" s="4"/>
      <c r="I387" s="9" t="s">
        <v>1605</v>
      </c>
      <c r="J387" s="9" t="s">
        <v>1606</v>
      </c>
      <c r="K387" s="9" t="s">
        <v>1607</v>
      </c>
      <c r="L387" s="5" t="s">
        <v>44</v>
      </c>
      <c r="M387" t="s">
        <v>54</v>
      </c>
      <c r="N387" s="6" t="s">
        <v>46</v>
      </c>
      <c r="O387" s="6">
        <v>1</v>
      </c>
      <c r="P387" s="6">
        <v>53</v>
      </c>
      <c r="R387" s="7"/>
      <c r="S387" s="8">
        <v>35.441092082812503</v>
      </c>
      <c r="T387" t="s">
        <v>88</v>
      </c>
      <c r="AD387" s="8">
        <v>0.13</v>
      </c>
      <c r="AE387" s="18">
        <v>10</v>
      </c>
      <c r="AF387" s="17">
        <v>0.95</v>
      </c>
      <c r="AG387" s="17">
        <v>0.68</v>
      </c>
    </row>
    <row r="388" spans="1:39" x14ac:dyDescent="0.2">
      <c r="A388" t="s">
        <v>1608</v>
      </c>
      <c r="B388" t="s">
        <v>1596</v>
      </c>
      <c r="C388" s="20" t="s">
        <v>1609</v>
      </c>
      <c r="D388" s="20" t="s">
        <v>1610</v>
      </c>
      <c r="E388" t="s">
        <v>1611</v>
      </c>
      <c r="H388" t="s">
        <v>2796</v>
      </c>
      <c r="L388" s="6" t="s">
        <v>279</v>
      </c>
      <c r="M388" t="s">
        <v>64</v>
      </c>
      <c r="N388" s="6" t="s">
        <v>65</v>
      </c>
      <c r="O388" s="6">
        <v>1</v>
      </c>
      <c r="P388"/>
      <c r="S388" s="8">
        <v>12.035802</v>
      </c>
      <c r="T388" t="s">
        <v>95</v>
      </c>
    </row>
    <row r="389" spans="1:39" x14ac:dyDescent="0.2">
      <c r="A389" t="s">
        <v>1612</v>
      </c>
      <c r="B389" t="s">
        <v>1596</v>
      </c>
      <c r="C389" s="20" t="s">
        <v>1609</v>
      </c>
      <c r="D389" s="20" t="s">
        <v>1613</v>
      </c>
      <c r="E389" t="s">
        <v>1614</v>
      </c>
      <c r="F389">
        <v>1</v>
      </c>
      <c r="L389" s="6" t="s">
        <v>279</v>
      </c>
      <c r="M389" t="s">
        <v>64</v>
      </c>
      <c r="N389" s="6" t="s">
        <v>65</v>
      </c>
      <c r="O389" s="6">
        <v>1</v>
      </c>
      <c r="P389"/>
      <c r="S389" s="8"/>
    </row>
    <row r="390" spans="1:39" x14ac:dyDescent="0.2">
      <c r="A390" t="s">
        <v>1615</v>
      </c>
      <c r="B390" t="s">
        <v>1596</v>
      </c>
      <c r="C390" s="20" t="s">
        <v>1609</v>
      </c>
      <c r="D390" s="20" t="s">
        <v>1616</v>
      </c>
      <c r="E390" t="s">
        <v>1617</v>
      </c>
      <c r="H390" t="s">
        <v>1618</v>
      </c>
      <c r="I390" s="3" t="s">
        <v>1619</v>
      </c>
      <c r="J390" s="4"/>
      <c r="K390" s="9" t="s">
        <v>303</v>
      </c>
      <c r="L390" s="6" t="s">
        <v>279</v>
      </c>
      <c r="M390" t="s">
        <v>64</v>
      </c>
      <c r="N390" s="6" t="s">
        <v>65</v>
      </c>
      <c r="O390" s="6">
        <v>1</v>
      </c>
      <c r="P390"/>
      <c r="R390" s="7"/>
      <c r="S390" s="8">
        <v>7.1043010000000004</v>
      </c>
      <c r="T390" t="s">
        <v>95</v>
      </c>
    </row>
    <row r="391" spans="1:39" x14ac:dyDescent="0.2">
      <c r="A391" t="s">
        <v>1620</v>
      </c>
      <c r="B391" t="s">
        <v>1596</v>
      </c>
      <c r="C391" s="20" t="s">
        <v>1609</v>
      </c>
      <c r="D391" s="20" t="s">
        <v>1621</v>
      </c>
      <c r="E391" t="s">
        <v>1622</v>
      </c>
      <c r="F391">
        <v>1</v>
      </c>
      <c r="I391" s="3"/>
      <c r="J391" s="4"/>
      <c r="K391" s="9"/>
      <c r="L391" s="6" t="s">
        <v>279</v>
      </c>
      <c r="M391" t="s">
        <v>64</v>
      </c>
      <c r="N391" s="6" t="s">
        <v>65</v>
      </c>
      <c r="O391" s="6">
        <v>1</v>
      </c>
      <c r="P391"/>
      <c r="R391" s="7"/>
      <c r="S391" s="8"/>
    </row>
    <row r="392" spans="1:39" x14ac:dyDescent="0.2">
      <c r="A392" t="s">
        <v>1623</v>
      </c>
      <c r="B392" t="s">
        <v>1596</v>
      </c>
      <c r="C392" s="20" t="s">
        <v>1624</v>
      </c>
      <c r="D392" s="20" t="s">
        <v>1625</v>
      </c>
      <c r="E392" t="s">
        <v>1626</v>
      </c>
      <c r="H392" s="4"/>
      <c r="I392" s="4"/>
      <c r="J392" s="4"/>
      <c r="K392" s="9" t="s">
        <v>229</v>
      </c>
      <c r="L392" s="5" t="s">
        <v>81</v>
      </c>
      <c r="M392" t="s">
        <v>64</v>
      </c>
      <c r="N392" s="6" t="s">
        <v>46</v>
      </c>
      <c r="O392" s="6">
        <v>1</v>
      </c>
      <c r="P392"/>
      <c r="R392" s="7"/>
    </row>
    <row r="393" spans="1:39" s="3" customFormat="1" x14ac:dyDescent="0.2">
      <c r="A393" t="s">
        <v>1627</v>
      </c>
      <c r="B393" t="s">
        <v>1596</v>
      </c>
      <c r="C393" s="20" t="s">
        <v>1624</v>
      </c>
      <c r="D393" s="20" t="s">
        <v>1628</v>
      </c>
      <c r="E393" t="s">
        <v>1604</v>
      </c>
      <c r="F393"/>
      <c r="G393"/>
      <c r="H393" s="4"/>
      <c r="I393" s="4"/>
      <c r="J393" s="4"/>
      <c r="K393" s="9"/>
      <c r="L393" s="5" t="s">
        <v>81</v>
      </c>
      <c r="M393" t="s">
        <v>64</v>
      </c>
      <c r="N393" s="6" t="s">
        <v>46</v>
      </c>
      <c r="O393" s="6">
        <v>1</v>
      </c>
      <c r="P393"/>
      <c r="Q393" s="6"/>
      <c r="R393" s="7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</row>
    <row r="394" spans="1:39" x14ac:dyDescent="0.2">
      <c r="A394" t="s">
        <v>1629</v>
      </c>
      <c r="B394" t="s">
        <v>1596</v>
      </c>
      <c r="C394" s="20" t="s">
        <v>1624</v>
      </c>
      <c r="D394" s="20" t="s">
        <v>1630</v>
      </c>
      <c r="E394" t="s">
        <v>1631</v>
      </c>
      <c r="H394" s="4"/>
      <c r="I394" s="4"/>
      <c r="J394" s="4"/>
      <c r="K394" s="31" t="s">
        <v>1632</v>
      </c>
      <c r="L394" s="5" t="s">
        <v>81</v>
      </c>
      <c r="M394" t="s">
        <v>64</v>
      </c>
      <c r="N394" s="6" t="s">
        <v>46</v>
      </c>
      <c r="O394" s="6">
        <v>1</v>
      </c>
      <c r="P394"/>
      <c r="R394" s="7"/>
      <c r="S394" s="8">
        <v>20.244743833032601</v>
      </c>
      <c r="T394" t="s">
        <v>88</v>
      </c>
      <c r="AI394" t="s">
        <v>1633</v>
      </c>
    </row>
    <row r="395" spans="1:39" x14ac:dyDescent="0.2">
      <c r="A395" t="s">
        <v>1634</v>
      </c>
      <c r="B395" t="s">
        <v>1596</v>
      </c>
      <c r="C395" s="20" t="s">
        <v>1635</v>
      </c>
      <c r="D395" s="20" t="s">
        <v>1636</v>
      </c>
      <c r="E395" t="s">
        <v>896</v>
      </c>
      <c r="H395" s="4"/>
      <c r="I395" s="4"/>
      <c r="J395" s="4"/>
      <c r="K395" s="9" t="s">
        <v>1637</v>
      </c>
      <c r="L395" s="6" t="s">
        <v>99</v>
      </c>
      <c r="M395" t="s">
        <v>64</v>
      </c>
      <c r="N395" s="6" t="s">
        <v>55</v>
      </c>
      <c r="O395" s="6">
        <v>1</v>
      </c>
      <c r="P395"/>
      <c r="Q395" s="6" t="s">
        <v>74</v>
      </c>
      <c r="R395" s="7"/>
      <c r="S395" s="8">
        <v>10.198</v>
      </c>
      <c r="T395" t="s">
        <v>95</v>
      </c>
      <c r="U395" s="18">
        <v>10.1991979205541</v>
      </c>
      <c r="V395" s="18">
        <v>100.977174097785</v>
      </c>
      <c r="W395">
        <v>10</v>
      </c>
      <c r="AC395" t="s">
        <v>47</v>
      </c>
      <c r="AD395" s="17">
        <v>2.4E-2</v>
      </c>
      <c r="AE395">
        <v>50</v>
      </c>
      <c r="AF395" s="8">
        <v>0.5</v>
      </c>
      <c r="AG395" s="8">
        <v>0.5</v>
      </c>
      <c r="AJ395" s="17">
        <v>0.47817912161777998</v>
      </c>
      <c r="AK395">
        <v>5</v>
      </c>
    </row>
    <row r="396" spans="1:39" x14ac:dyDescent="0.2">
      <c r="A396" t="s">
        <v>1638</v>
      </c>
      <c r="B396" t="s">
        <v>1596</v>
      </c>
      <c r="C396" s="20" t="s">
        <v>1635</v>
      </c>
      <c r="D396" s="20" t="s">
        <v>1639</v>
      </c>
      <c r="E396" t="s">
        <v>1640</v>
      </c>
      <c r="F396" t="s">
        <v>1331</v>
      </c>
      <c r="G396" t="s">
        <v>1332</v>
      </c>
      <c r="H396" s="4" t="s">
        <v>1641</v>
      </c>
      <c r="I396" s="3" t="s">
        <v>1642</v>
      </c>
      <c r="J396" s="3" t="s">
        <v>1643</v>
      </c>
      <c r="K396" t="s">
        <v>1644</v>
      </c>
      <c r="L396" s="6" t="s">
        <v>99</v>
      </c>
      <c r="M396" t="s">
        <v>64</v>
      </c>
      <c r="N396" s="6" t="s">
        <v>65</v>
      </c>
      <c r="O396" s="6">
        <v>1</v>
      </c>
      <c r="P396" s="6">
        <v>76</v>
      </c>
      <c r="R396" s="7"/>
      <c r="AC396" t="s">
        <v>47</v>
      </c>
      <c r="AH396" s="8">
        <v>0.38186239300000002</v>
      </c>
      <c r="AI396" t="s">
        <v>66</v>
      </c>
    </row>
    <row r="397" spans="1:39" ht="18" customHeight="1" x14ac:dyDescent="0.2">
      <c r="A397" t="s">
        <v>1645</v>
      </c>
      <c r="B397" t="s">
        <v>1596</v>
      </c>
      <c r="C397" s="20" t="s">
        <v>1635</v>
      </c>
      <c r="D397" s="20" t="s">
        <v>1646</v>
      </c>
      <c r="E397" t="s">
        <v>1647</v>
      </c>
      <c r="H397" s="9" t="s">
        <v>1648</v>
      </c>
      <c r="I397" s="4"/>
      <c r="J397" s="4"/>
      <c r="K397" s="9" t="s">
        <v>1649</v>
      </c>
      <c r="L397" s="6" t="s">
        <v>99</v>
      </c>
      <c r="M397" t="s">
        <v>64</v>
      </c>
      <c r="N397" s="6" t="s">
        <v>65</v>
      </c>
      <c r="O397" s="6">
        <v>1</v>
      </c>
      <c r="P397"/>
      <c r="R397" s="7"/>
      <c r="AC397" t="s">
        <v>47</v>
      </c>
      <c r="AM397" s="3"/>
    </row>
    <row r="398" spans="1:39" ht="18" customHeight="1" x14ac:dyDescent="0.2">
      <c r="A398" t="s">
        <v>1650</v>
      </c>
      <c r="B398" t="s">
        <v>1596</v>
      </c>
      <c r="C398" s="20" t="s">
        <v>1651</v>
      </c>
      <c r="D398" s="20" t="s">
        <v>1652</v>
      </c>
      <c r="E398" t="s">
        <v>1653</v>
      </c>
      <c r="F398">
        <v>1</v>
      </c>
      <c r="H398" s="9"/>
      <c r="I398" s="4"/>
      <c r="J398" s="4"/>
      <c r="K398" s="9"/>
      <c r="L398" s="6" t="s">
        <v>99</v>
      </c>
      <c r="M398" t="s">
        <v>64</v>
      </c>
      <c r="N398" s="6" t="s">
        <v>65</v>
      </c>
      <c r="O398" s="6">
        <v>1</v>
      </c>
      <c r="P398"/>
      <c r="R398" s="7"/>
      <c r="AM398" s="3"/>
    </row>
    <row r="399" spans="1:39" x14ac:dyDescent="0.2">
      <c r="A399" t="s">
        <v>1654</v>
      </c>
      <c r="B399" t="s">
        <v>1596</v>
      </c>
      <c r="C399" s="20" t="s">
        <v>1635</v>
      </c>
      <c r="D399" s="20" t="s">
        <v>772</v>
      </c>
      <c r="E399" t="s">
        <v>188</v>
      </c>
      <c r="L399" s="5" t="s">
        <v>94</v>
      </c>
      <c r="M399" t="s">
        <v>64</v>
      </c>
      <c r="N399" s="6" t="s">
        <v>46</v>
      </c>
      <c r="O399" s="6">
        <v>1</v>
      </c>
      <c r="P399"/>
      <c r="R399" s="3"/>
    </row>
    <row r="400" spans="1:39" x14ac:dyDescent="0.2">
      <c r="A400" t="s">
        <v>1655</v>
      </c>
      <c r="B400" t="s">
        <v>1596</v>
      </c>
      <c r="C400" s="20" t="s">
        <v>1635</v>
      </c>
      <c r="D400" s="20" t="s">
        <v>1656</v>
      </c>
      <c r="E400" t="s">
        <v>1657</v>
      </c>
      <c r="H400" s="4"/>
      <c r="I400" s="39"/>
      <c r="J400" s="4"/>
      <c r="K400" s="4"/>
      <c r="L400" s="5" t="s">
        <v>81</v>
      </c>
      <c r="M400" t="s">
        <v>64</v>
      </c>
      <c r="N400" s="6" t="s">
        <v>46</v>
      </c>
      <c r="O400" s="6">
        <v>1</v>
      </c>
      <c r="P400"/>
      <c r="R400" s="7"/>
      <c r="S400" s="8">
        <v>17.760771633136098</v>
      </c>
      <c r="T400" t="s">
        <v>88</v>
      </c>
      <c r="X400" s="8">
        <v>0.72448953448935605</v>
      </c>
      <c r="Y400" t="s">
        <v>88</v>
      </c>
      <c r="AJ400" s="40"/>
    </row>
    <row r="401" spans="1:39" x14ac:dyDescent="0.2">
      <c r="A401" t="s">
        <v>1658</v>
      </c>
      <c r="B401" t="s">
        <v>1596</v>
      </c>
      <c r="C401" s="20" t="s">
        <v>1635</v>
      </c>
      <c r="D401" s="20" t="s">
        <v>1659</v>
      </c>
      <c r="E401" t="s">
        <v>1660</v>
      </c>
      <c r="H401" s="4"/>
      <c r="I401" s="4"/>
      <c r="J401" s="4"/>
      <c r="K401" s="9" t="s">
        <v>217</v>
      </c>
      <c r="L401" s="6" t="s">
        <v>94</v>
      </c>
      <c r="M401" t="s">
        <v>64</v>
      </c>
      <c r="N401" s="6" t="s">
        <v>65</v>
      </c>
      <c r="O401" s="6">
        <v>1</v>
      </c>
      <c r="P401"/>
      <c r="R401" s="7"/>
      <c r="AC401" t="s">
        <v>47</v>
      </c>
    </row>
    <row r="402" spans="1:39" x14ac:dyDescent="0.2">
      <c r="A402" t="s">
        <v>1661</v>
      </c>
      <c r="B402" t="s">
        <v>1596</v>
      </c>
      <c r="C402" s="66" t="s">
        <v>1635</v>
      </c>
      <c r="D402" s="20" t="s">
        <v>1662</v>
      </c>
      <c r="E402" t="s">
        <v>161</v>
      </c>
      <c r="H402" s="4"/>
      <c r="I402" s="9"/>
      <c r="J402" s="4"/>
      <c r="K402" s="4"/>
      <c r="L402" s="5" t="s">
        <v>81</v>
      </c>
      <c r="M402" t="s">
        <v>64</v>
      </c>
      <c r="N402" s="6" t="s">
        <v>65</v>
      </c>
      <c r="O402" s="6">
        <v>1</v>
      </c>
      <c r="P402" s="6">
        <v>36</v>
      </c>
      <c r="Q402" s="6" t="s">
        <v>74</v>
      </c>
      <c r="R402" s="7"/>
    </row>
    <row r="403" spans="1:39" x14ac:dyDescent="0.2">
      <c r="A403" t="s">
        <v>1663</v>
      </c>
      <c r="B403" t="s">
        <v>1596</v>
      </c>
      <c r="C403" s="20" t="s">
        <v>1635</v>
      </c>
      <c r="D403" s="20" t="s">
        <v>1664</v>
      </c>
      <c r="E403" t="s">
        <v>1665</v>
      </c>
      <c r="H403" s="4"/>
      <c r="I403" s="9" t="s">
        <v>1666</v>
      </c>
      <c r="J403" s="4"/>
      <c r="K403" s="4"/>
      <c r="L403" s="6" t="s">
        <v>99</v>
      </c>
      <c r="M403" t="s">
        <v>64</v>
      </c>
      <c r="N403" s="6" t="s">
        <v>46</v>
      </c>
      <c r="O403" s="6">
        <v>1</v>
      </c>
      <c r="P403" s="6">
        <v>191</v>
      </c>
      <c r="Q403" s="6" t="s">
        <v>74</v>
      </c>
      <c r="R403" s="7"/>
      <c r="U403" s="18">
        <v>15.673725724351</v>
      </c>
      <c r="V403" s="18">
        <v>65.546215415219095</v>
      </c>
      <c r="W403">
        <v>10</v>
      </c>
      <c r="Z403" s="17">
        <v>0.241666666666667</v>
      </c>
      <c r="AA403">
        <v>60</v>
      </c>
      <c r="AC403" t="s">
        <v>47</v>
      </c>
      <c r="AF403" s="8">
        <v>1.29</v>
      </c>
      <c r="AG403" s="8">
        <v>0.67</v>
      </c>
      <c r="AH403" s="8">
        <v>0.59842921000000004</v>
      </c>
      <c r="AI403" t="s">
        <v>66</v>
      </c>
      <c r="AJ403" s="8">
        <v>0.49099999999999999</v>
      </c>
      <c r="AK403">
        <v>10</v>
      </c>
    </row>
    <row r="404" spans="1:39" x14ac:dyDescent="0.2">
      <c r="A404" t="s">
        <v>1667</v>
      </c>
      <c r="B404" t="s">
        <v>1596</v>
      </c>
      <c r="C404" s="20" t="s">
        <v>1668</v>
      </c>
      <c r="D404" s="20" t="s">
        <v>1669</v>
      </c>
      <c r="E404" t="s">
        <v>1670</v>
      </c>
      <c r="H404" s="4"/>
      <c r="I404" s="4"/>
      <c r="J404" s="4"/>
      <c r="K404" s="9" t="s">
        <v>1671</v>
      </c>
      <c r="L404" s="6" t="s">
        <v>99</v>
      </c>
      <c r="M404" t="s">
        <v>207</v>
      </c>
      <c r="N404" s="6" t="s">
        <v>46</v>
      </c>
      <c r="O404" s="6">
        <v>1</v>
      </c>
      <c r="P404"/>
      <c r="R404" s="7"/>
      <c r="AH404" s="8">
        <v>0.5</v>
      </c>
      <c r="AI404" t="s">
        <v>1672</v>
      </c>
    </row>
    <row r="405" spans="1:39" x14ac:dyDescent="0.2">
      <c r="A405" t="s">
        <v>1673</v>
      </c>
      <c r="B405" t="s">
        <v>1596</v>
      </c>
      <c r="C405" s="20" t="s">
        <v>1674</v>
      </c>
      <c r="D405" s="20" t="s">
        <v>1675</v>
      </c>
      <c r="E405" t="s">
        <v>896</v>
      </c>
      <c r="H405" s="4"/>
      <c r="I405" s="4"/>
      <c r="J405" s="4"/>
      <c r="K405" s="9" t="s">
        <v>1676</v>
      </c>
      <c r="L405" s="5" t="s">
        <v>81</v>
      </c>
      <c r="M405" t="s">
        <v>64</v>
      </c>
      <c r="N405" s="6" t="s">
        <v>46</v>
      </c>
      <c r="O405" s="6">
        <v>1</v>
      </c>
      <c r="P405"/>
      <c r="R405" s="7"/>
      <c r="S405" s="8">
        <v>20.268339677419402</v>
      </c>
      <c r="T405" t="s">
        <v>88</v>
      </c>
    </row>
    <row r="406" spans="1:39" x14ac:dyDescent="0.2">
      <c r="A406" t="s">
        <v>1677</v>
      </c>
      <c r="B406" t="s">
        <v>1596</v>
      </c>
      <c r="C406" s="20" t="s">
        <v>1678</v>
      </c>
      <c r="D406" s="20" t="s">
        <v>192</v>
      </c>
      <c r="E406" t="s">
        <v>1679</v>
      </c>
      <c r="F406">
        <v>1</v>
      </c>
      <c r="H406" s="4"/>
      <c r="I406" s="4"/>
      <c r="J406" s="4"/>
      <c r="K406" s="9"/>
      <c r="L406" s="6" t="s">
        <v>99</v>
      </c>
      <c r="M406" t="s">
        <v>64</v>
      </c>
      <c r="N406" s="6" t="s">
        <v>65</v>
      </c>
      <c r="O406" s="6">
        <v>1</v>
      </c>
      <c r="P406"/>
      <c r="R406" s="7"/>
      <c r="S406" s="8"/>
    </row>
    <row r="407" spans="1:39" s="3" customFormat="1" x14ac:dyDescent="0.2">
      <c r="A407" t="s">
        <v>1680</v>
      </c>
      <c r="B407" t="s">
        <v>1596</v>
      </c>
      <c r="C407" s="20" t="s">
        <v>1681</v>
      </c>
      <c r="D407" s="20" t="s">
        <v>1682</v>
      </c>
      <c r="E407" t="s">
        <v>553</v>
      </c>
      <c r="F407"/>
      <c r="G407"/>
      <c r="H407" s="4"/>
      <c r="I407" s="4"/>
      <c r="J407" s="4"/>
      <c r="K407" s="9" t="s">
        <v>1683</v>
      </c>
      <c r="L407" s="6" t="s">
        <v>99</v>
      </c>
      <c r="M407" t="s">
        <v>64</v>
      </c>
      <c r="N407" s="6" t="s">
        <v>65</v>
      </c>
      <c r="O407" s="6">
        <v>1</v>
      </c>
      <c r="P407"/>
      <c r="Q407" s="6"/>
      <c r="R407" s="7"/>
      <c r="S407" s="8">
        <v>17.3388631524295</v>
      </c>
      <c r="T407" t="s">
        <v>1684</v>
      </c>
      <c r="U407"/>
      <c r="V407"/>
      <c r="W407"/>
      <c r="X407" s="8">
        <v>0.2</v>
      </c>
      <c r="Y407" t="s">
        <v>315</v>
      </c>
      <c r="Z407"/>
      <c r="AA407"/>
      <c r="AB407"/>
      <c r="AC407" t="s">
        <v>47</v>
      </c>
      <c r="AD407"/>
      <c r="AE407"/>
      <c r="AF407"/>
      <c r="AG407"/>
      <c r="AH407" s="8">
        <v>0.57771651999999996</v>
      </c>
      <c r="AI407" t="s">
        <v>66</v>
      </c>
      <c r="AJ407"/>
      <c r="AK407"/>
      <c r="AL407"/>
      <c r="AM407"/>
    </row>
    <row r="408" spans="1:39" x14ac:dyDescent="0.2">
      <c r="A408" t="s">
        <v>1685</v>
      </c>
      <c r="B408" t="s">
        <v>1596</v>
      </c>
      <c r="C408" s="20" t="s">
        <v>1681</v>
      </c>
      <c r="D408" s="20" t="s">
        <v>1528</v>
      </c>
      <c r="E408" t="s">
        <v>1686</v>
      </c>
      <c r="H408" s="4"/>
      <c r="I408" s="4"/>
      <c r="J408" s="4"/>
      <c r="K408" s="9" t="s">
        <v>1687</v>
      </c>
      <c r="L408" s="6" t="s">
        <v>94</v>
      </c>
      <c r="M408" t="s">
        <v>64</v>
      </c>
      <c r="N408" s="6" t="s">
        <v>65</v>
      </c>
      <c r="O408" s="6">
        <v>1</v>
      </c>
      <c r="P408"/>
      <c r="R408" s="7"/>
      <c r="AC408" t="s">
        <v>47</v>
      </c>
    </row>
    <row r="409" spans="1:39" x14ac:dyDescent="0.2">
      <c r="A409" t="s">
        <v>1688</v>
      </c>
      <c r="B409" t="s">
        <v>1596</v>
      </c>
      <c r="C409" s="20" t="s">
        <v>1681</v>
      </c>
      <c r="D409" s="20" t="s">
        <v>1689</v>
      </c>
      <c r="E409" t="s">
        <v>1109</v>
      </c>
      <c r="H409" s="4"/>
      <c r="I409" s="4"/>
      <c r="J409" s="4"/>
      <c r="K409" s="9" t="s">
        <v>1690</v>
      </c>
      <c r="L409" s="6" t="s">
        <v>99</v>
      </c>
      <c r="M409" t="s">
        <v>64</v>
      </c>
      <c r="N409" s="6" t="s">
        <v>46</v>
      </c>
      <c r="O409" s="6">
        <v>1</v>
      </c>
      <c r="P409"/>
      <c r="R409" s="7"/>
      <c r="S409">
        <v>12.66993995</v>
      </c>
      <c r="T409" t="s">
        <v>66</v>
      </c>
      <c r="X409" s="8">
        <v>0.08</v>
      </c>
      <c r="Y409" t="s">
        <v>315</v>
      </c>
      <c r="AH409" s="8">
        <v>0.6</v>
      </c>
      <c r="AI409" t="s">
        <v>1691</v>
      </c>
      <c r="AL409" s="3"/>
    </row>
    <row r="410" spans="1:39" x14ac:dyDescent="0.2">
      <c r="A410" t="s">
        <v>1692</v>
      </c>
      <c r="B410" t="s">
        <v>1596</v>
      </c>
      <c r="C410" s="20" t="s">
        <v>1681</v>
      </c>
      <c r="D410" s="20" t="s">
        <v>1693</v>
      </c>
      <c r="E410" t="s">
        <v>553</v>
      </c>
      <c r="H410" s="4"/>
      <c r="I410" s="4"/>
      <c r="J410" s="4"/>
      <c r="K410" s="9"/>
      <c r="L410" s="6" t="s">
        <v>94</v>
      </c>
      <c r="M410" t="s">
        <v>64</v>
      </c>
      <c r="N410" s="6" t="s">
        <v>55</v>
      </c>
      <c r="O410" s="6">
        <v>1</v>
      </c>
      <c r="P410"/>
      <c r="R410" s="7"/>
      <c r="S410" s="8">
        <v>22.523809610000001</v>
      </c>
      <c r="T410" t="s">
        <v>88</v>
      </c>
      <c r="AC410" t="s">
        <v>47</v>
      </c>
      <c r="AH410" s="8">
        <v>0.44</v>
      </c>
      <c r="AI410" t="s">
        <v>1694</v>
      </c>
      <c r="AM410" s="3"/>
    </row>
    <row r="411" spans="1:39" s="3" customFormat="1" x14ac:dyDescent="0.2">
      <c r="A411" t="s">
        <v>1695</v>
      </c>
      <c r="B411" t="s">
        <v>1596</v>
      </c>
      <c r="C411" s="20" t="s">
        <v>1681</v>
      </c>
      <c r="D411" s="20" t="s">
        <v>1696</v>
      </c>
      <c r="E411" t="s">
        <v>1697</v>
      </c>
      <c r="F411"/>
      <c r="G411"/>
      <c r="H411" s="4"/>
      <c r="I411" s="4"/>
      <c r="J411" s="4"/>
      <c r="K411" s="9" t="s">
        <v>294</v>
      </c>
      <c r="L411" s="5" t="s">
        <v>94</v>
      </c>
      <c r="M411" t="s">
        <v>64</v>
      </c>
      <c r="N411" s="6" t="s">
        <v>55</v>
      </c>
      <c r="O411" s="6">
        <v>1</v>
      </c>
      <c r="P411"/>
      <c r="Q411" s="6" t="s">
        <v>74</v>
      </c>
      <c r="R411" s="7"/>
      <c r="S411"/>
      <c r="T411"/>
      <c r="U411"/>
      <c r="V411"/>
      <c r="W411"/>
      <c r="X411"/>
      <c r="Y411"/>
      <c r="Z411"/>
      <c r="AA411"/>
      <c r="AB411"/>
      <c r="AC411" t="s">
        <v>47</v>
      </c>
      <c r="AD411"/>
      <c r="AE411"/>
      <c r="AF411"/>
      <c r="AG411"/>
      <c r="AH411"/>
      <c r="AI411"/>
      <c r="AJ411"/>
      <c r="AK411"/>
      <c r="AM411"/>
    </row>
    <row r="412" spans="1:39" x14ac:dyDescent="0.2">
      <c r="A412" s="83" t="s">
        <v>2790</v>
      </c>
      <c r="B412" s="48" t="s">
        <v>1596</v>
      </c>
      <c r="C412" s="67" t="s">
        <v>1681</v>
      </c>
      <c r="D412" s="67" t="s">
        <v>1700</v>
      </c>
      <c r="E412" s="48" t="s">
        <v>1644</v>
      </c>
      <c r="F412" s="48"/>
      <c r="G412" s="48"/>
      <c r="H412" s="62" t="s">
        <v>1699</v>
      </c>
      <c r="I412" s="62"/>
      <c r="J412" s="62"/>
      <c r="K412" s="81" t="s">
        <v>1701</v>
      </c>
      <c r="L412" s="64" t="s">
        <v>99</v>
      </c>
      <c r="M412" s="48" t="s">
        <v>64</v>
      </c>
      <c r="N412" s="64" t="s">
        <v>55</v>
      </c>
      <c r="O412" s="64">
        <v>1</v>
      </c>
      <c r="P412"/>
      <c r="R412" s="7"/>
      <c r="AC412" t="s">
        <v>47</v>
      </c>
      <c r="AH412" s="8">
        <v>0.66420097</v>
      </c>
      <c r="AI412" t="s">
        <v>66</v>
      </c>
      <c r="AL412" s="3"/>
    </row>
    <row r="413" spans="1:39" x14ac:dyDescent="0.2">
      <c r="A413" t="s">
        <v>1702</v>
      </c>
      <c r="B413" s="3" t="s">
        <v>1596</v>
      </c>
      <c r="C413" s="20" t="s">
        <v>1681</v>
      </c>
      <c r="D413" s="20" t="s">
        <v>1703</v>
      </c>
      <c r="E413" t="s">
        <v>1644</v>
      </c>
      <c r="H413" s="9" t="s">
        <v>1704</v>
      </c>
      <c r="I413" s="12" t="s">
        <v>1705</v>
      </c>
      <c r="J413" s="12"/>
      <c r="K413" s="13" t="s">
        <v>1706</v>
      </c>
      <c r="L413" s="6" t="s">
        <v>99</v>
      </c>
      <c r="M413" t="s">
        <v>64</v>
      </c>
      <c r="N413" s="6" t="s">
        <v>55</v>
      </c>
      <c r="O413" s="6">
        <v>1</v>
      </c>
      <c r="P413" s="29"/>
      <c r="Q413" s="29"/>
      <c r="R413" s="41"/>
      <c r="S413" s="14">
        <v>16.62039103</v>
      </c>
      <c r="T413" s="3" t="s">
        <v>88</v>
      </c>
      <c r="U413" s="42">
        <v>16.711064307048598</v>
      </c>
      <c r="V413" s="42">
        <v>64.074701163104393</v>
      </c>
      <c r="W413" s="42">
        <v>12</v>
      </c>
      <c r="X413" s="14"/>
      <c r="Y413" s="3"/>
      <c r="Z413" s="14"/>
      <c r="AA413" s="3"/>
      <c r="AB413" s="3"/>
      <c r="AC413" s="3" t="s">
        <v>47</v>
      </c>
      <c r="AD413" s="43">
        <v>0.13750000000000001</v>
      </c>
      <c r="AE413" s="3">
        <v>40</v>
      </c>
      <c r="AF413" s="14">
        <v>0.5</v>
      </c>
      <c r="AG413" s="14">
        <v>0.5</v>
      </c>
      <c r="AH413" s="14"/>
      <c r="AI413" s="3"/>
      <c r="AJ413" s="43">
        <v>0.52916557631854899</v>
      </c>
      <c r="AK413" s="3">
        <v>5</v>
      </c>
      <c r="AM413" s="3"/>
    </row>
    <row r="414" spans="1:39" x14ac:dyDescent="0.2">
      <c r="A414" t="s">
        <v>1707</v>
      </c>
      <c r="B414" t="s">
        <v>1596</v>
      </c>
      <c r="C414" s="20" t="s">
        <v>1681</v>
      </c>
      <c r="D414" s="20" t="s">
        <v>1708</v>
      </c>
      <c r="E414" t="s">
        <v>1709</v>
      </c>
      <c r="H414" s="4"/>
      <c r="I414" s="4"/>
      <c r="J414" s="4"/>
      <c r="K414" s="9" t="s">
        <v>974</v>
      </c>
      <c r="L414" s="5" t="s">
        <v>81</v>
      </c>
      <c r="M414" t="s">
        <v>64</v>
      </c>
      <c r="N414" s="6" t="s">
        <v>46</v>
      </c>
      <c r="O414" s="6">
        <v>1</v>
      </c>
      <c r="P414"/>
      <c r="R414" s="7"/>
      <c r="AC414" t="s">
        <v>47</v>
      </c>
      <c r="AH414" s="8">
        <v>0.61</v>
      </c>
      <c r="AI414" t="s">
        <v>1710</v>
      </c>
    </row>
    <row r="415" spans="1:39" x14ac:dyDescent="0.2">
      <c r="A415" t="s">
        <v>1711</v>
      </c>
      <c r="B415" t="s">
        <v>1596</v>
      </c>
      <c r="C415" s="20" t="s">
        <v>1681</v>
      </c>
      <c r="D415" s="20" t="s">
        <v>1712</v>
      </c>
      <c r="E415" t="s">
        <v>1713</v>
      </c>
      <c r="H415" s="84" t="s">
        <v>1698</v>
      </c>
      <c r="J415" s="4"/>
      <c r="K415" s="9" t="s">
        <v>1240</v>
      </c>
      <c r="L415" s="6" t="s">
        <v>99</v>
      </c>
      <c r="M415" t="s">
        <v>64</v>
      </c>
      <c r="N415" s="6" t="s">
        <v>46</v>
      </c>
      <c r="O415" s="6">
        <v>1</v>
      </c>
      <c r="P415"/>
      <c r="R415" s="7"/>
      <c r="AC415" t="s">
        <v>47</v>
      </c>
    </row>
    <row r="416" spans="1:39" s="3" customFormat="1" x14ac:dyDescent="0.2">
      <c r="A416" t="s">
        <v>1714</v>
      </c>
      <c r="B416" t="s">
        <v>1596</v>
      </c>
      <c r="C416" s="20" t="s">
        <v>1681</v>
      </c>
      <c r="D416" s="20" t="s">
        <v>562</v>
      </c>
      <c r="E416" t="s">
        <v>896</v>
      </c>
      <c r="F416"/>
      <c r="G416"/>
      <c r="H416" s="4"/>
      <c r="I416" s="9" t="s">
        <v>1715</v>
      </c>
      <c r="J416" s="4"/>
      <c r="K416" s="9"/>
      <c r="L416" s="6" t="s">
        <v>99</v>
      </c>
      <c r="M416" t="s">
        <v>64</v>
      </c>
      <c r="N416" s="6" t="s">
        <v>65</v>
      </c>
      <c r="O416" s="6">
        <v>1</v>
      </c>
      <c r="P416"/>
      <c r="Q416" s="6"/>
      <c r="R416" s="7"/>
      <c r="S416"/>
      <c r="T416"/>
      <c r="U416"/>
      <c r="V416"/>
      <c r="W416"/>
      <c r="X416"/>
      <c r="Y416"/>
      <c r="Z416"/>
      <c r="AA416"/>
      <c r="AB416"/>
      <c r="AC416" t="s">
        <v>47</v>
      </c>
      <c r="AD416"/>
      <c r="AE416"/>
      <c r="AF416"/>
      <c r="AG416"/>
      <c r="AH416"/>
      <c r="AI416"/>
      <c r="AJ416"/>
      <c r="AK416"/>
      <c r="AL416"/>
      <c r="AM416"/>
    </row>
    <row r="417" spans="1:39" ht="14.25" customHeight="1" x14ac:dyDescent="0.2">
      <c r="A417" t="s">
        <v>1716</v>
      </c>
      <c r="B417" t="s">
        <v>1596</v>
      </c>
      <c r="C417" s="20" t="s">
        <v>1681</v>
      </c>
      <c r="D417" s="20" t="s">
        <v>446</v>
      </c>
      <c r="E417" t="s">
        <v>161</v>
      </c>
      <c r="H417" s="4"/>
      <c r="I417" s="9"/>
      <c r="J417" s="4"/>
      <c r="K417" s="9" t="s">
        <v>1717</v>
      </c>
      <c r="L417" s="6" t="s">
        <v>94</v>
      </c>
      <c r="M417" t="s">
        <v>64</v>
      </c>
      <c r="N417" s="6" t="s">
        <v>46</v>
      </c>
      <c r="O417" s="6">
        <v>1</v>
      </c>
      <c r="P417"/>
      <c r="Q417" s="6" t="s">
        <v>74</v>
      </c>
      <c r="R417" s="7"/>
      <c r="U417" s="18">
        <v>12.2638902035036</v>
      </c>
      <c r="V417" s="18">
        <v>82.509368393911004</v>
      </c>
      <c r="W417" s="18">
        <v>7</v>
      </c>
      <c r="AC417" t="s">
        <v>47</v>
      </c>
      <c r="AD417" s="17">
        <v>4.2500000000000003E-2</v>
      </c>
      <c r="AE417" s="18">
        <v>40</v>
      </c>
      <c r="AF417" s="17">
        <v>0.5</v>
      </c>
      <c r="AG417" s="17">
        <v>0.5</v>
      </c>
    </row>
    <row r="418" spans="1:39" ht="14.25" customHeight="1" x14ac:dyDescent="0.2">
      <c r="A418" t="s">
        <v>1718</v>
      </c>
      <c r="B418" t="s">
        <v>1596</v>
      </c>
      <c r="C418" s="20" t="s">
        <v>1681</v>
      </c>
      <c r="D418" s="20" t="s">
        <v>1719</v>
      </c>
      <c r="H418" s="4"/>
      <c r="I418" s="9"/>
      <c r="J418" s="4"/>
      <c r="K418" s="9"/>
      <c r="L418" s="6" t="s">
        <v>81</v>
      </c>
      <c r="M418" t="s">
        <v>64</v>
      </c>
      <c r="N418" s="6" t="s">
        <v>46</v>
      </c>
      <c r="O418" s="6">
        <v>1</v>
      </c>
      <c r="P418"/>
      <c r="R418" s="7"/>
      <c r="U418" s="18"/>
      <c r="V418" s="18"/>
      <c r="W418" s="18"/>
      <c r="AD418" s="17"/>
      <c r="AE418" s="18"/>
      <c r="AF418" s="17"/>
      <c r="AG418" s="17"/>
    </row>
    <row r="419" spans="1:39" x14ac:dyDescent="0.2">
      <c r="A419" t="s">
        <v>1720</v>
      </c>
      <c r="B419" t="s">
        <v>1596</v>
      </c>
      <c r="C419" s="20" t="s">
        <v>1681</v>
      </c>
      <c r="D419" s="20" t="s">
        <v>1169</v>
      </c>
      <c r="E419" t="s">
        <v>1721</v>
      </c>
      <c r="I419" s="3"/>
      <c r="J419" s="3"/>
      <c r="K419" s="3"/>
      <c r="L419" s="6" t="s">
        <v>94</v>
      </c>
      <c r="M419" t="s">
        <v>64</v>
      </c>
      <c r="N419" s="6" t="s">
        <v>55</v>
      </c>
      <c r="O419" s="6">
        <v>1</v>
      </c>
      <c r="P419"/>
      <c r="R419" s="3"/>
      <c r="S419">
        <v>11.18</v>
      </c>
      <c r="T419" t="s">
        <v>1722</v>
      </c>
      <c r="AC419" t="s">
        <v>47</v>
      </c>
      <c r="AH419" s="8">
        <v>0.48139156900000002</v>
      </c>
      <c r="AI419" t="s">
        <v>66</v>
      </c>
    </row>
    <row r="420" spans="1:39" ht="15.75" customHeight="1" x14ac:dyDescent="0.2">
      <c r="A420" t="s">
        <v>1723</v>
      </c>
      <c r="B420" t="s">
        <v>1596</v>
      </c>
      <c r="C420" s="74" t="s">
        <v>1681</v>
      </c>
      <c r="D420" s="20" t="s">
        <v>1724</v>
      </c>
      <c r="E420" t="s">
        <v>1686</v>
      </c>
      <c r="H420" s="4" t="s">
        <v>1725</v>
      </c>
      <c r="I420" s="9"/>
      <c r="J420" s="4"/>
      <c r="K420" s="4" t="s">
        <v>1726</v>
      </c>
      <c r="L420" s="6" t="s">
        <v>94</v>
      </c>
      <c r="M420" t="s">
        <v>64</v>
      </c>
      <c r="N420" s="6" t="s">
        <v>46</v>
      </c>
      <c r="O420" s="6">
        <v>1</v>
      </c>
      <c r="P420"/>
      <c r="Q420" s="6" t="s">
        <v>74</v>
      </c>
      <c r="R420" s="7"/>
      <c r="S420" s="8">
        <v>21.801628560000001</v>
      </c>
      <c r="T420" t="s">
        <v>88</v>
      </c>
      <c r="U420" s="18">
        <v>21.794799401506001</v>
      </c>
      <c r="V420" s="18">
        <v>50.441929417027403</v>
      </c>
      <c r="W420" s="18">
        <v>10</v>
      </c>
      <c r="Z420" t="s">
        <v>1727</v>
      </c>
      <c r="AA420" t="s">
        <v>1728</v>
      </c>
      <c r="AC420" t="s">
        <v>47</v>
      </c>
      <c r="AD420" s="17">
        <v>3.4000000000000002E-2</v>
      </c>
      <c r="AE420" s="18">
        <v>50</v>
      </c>
      <c r="AF420" s="17">
        <v>0.5</v>
      </c>
      <c r="AG420" s="17">
        <v>0.5</v>
      </c>
      <c r="AH420" s="8">
        <v>0.6</v>
      </c>
      <c r="AI420" t="s">
        <v>1729</v>
      </c>
      <c r="AJ420" s="17">
        <v>0.54679029156317605</v>
      </c>
      <c r="AK420">
        <v>5</v>
      </c>
      <c r="AM420" s="3"/>
    </row>
    <row r="421" spans="1:39" x14ac:dyDescent="0.2">
      <c r="A421" t="s">
        <v>1730</v>
      </c>
      <c r="B421" t="s">
        <v>1596</v>
      </c>
      <c r="C421" s="20" t="s">
        <v>1681</v>
      </c>
      <c r="D421" s="20" t="s">
        <v>364</v>
      </c>
      <c r="H421" s="4"/>
      <c r="I421" s="9"/>
      <c r="J421" s="4"/>
      <c r="K421" s="4"/>
      <c r="L421" s="6" t="s">
        <v>94</v>
      </c>
      <c r="M421" t="s">
        <v>64</v>
      </c>
      <c r="N421" s="6" t="s">
        <v>55</v>
      </c>
      <c r="O421" s="6">
        <v>1</v>
      </c>
      <c r="R421" s="7"/>
      <c r="S421" s="8"/>
      <c r="U421" s="18"/>
      <c r="V421" s="18"/>
      <c r="W421" s="18"/>
      <c r="Z421" s="17"/>
      <c r="AD421" s="17"/>
      <c r="AF421" s="8"/>
      <c r="AG421" s="8"/>
      <c r="AH421" s="8"/>
    </row>
    <row r="422" spans="1:39" x14ac:dyDescent="0.2">
      <c r="A422" t="s">
        <v>1731</v>
      </c>
      <c r="B422" t="s">
        <v>1596</v>
      </c>
      <c r="C422" s="20" t="s">
        <v>1681</v>
      </c>
      <c r="D422" s="20" t="s">
        <v>1732</v>
      </c>
      <c r="E422" t="s">
        <v>1733</v>
      </c>
      <c r="H422" s="4"/>
      <c r="I422" s="9"/>
      <c r="J422" s="4"/>
      <c r="K422" s="4"/>
      <c r="L422" s="6" t="s">
        <v>99</v>
      </c>
      <c r="M422" t="s">
        <v>64</v>
      </c>
      <c r="N422" s="6" t="s">
        <v>46</v>
      </c>
      <c r="O422" s="6">
        <v>1</v>
      </c>
      <c r="P422"/>
      <c r="Q422" s="6" t="s">
        <v>74</v>
      </c>
      <c r="R422" s="7"/>
      <c r="S422" s="8">
        <v>12.401939</v>
      </c>
      <c r="T422" t="s">
        <v>95</v>
      </c>
      <c r="U422" s="18">
        <v>14.561606224637201</v>
      </c>
      <c r="V422" s="18">
        <v>70.489228166672504</v>
      </c>
      <c r="W422" s="18">
        <v>11</v>
      </c>
      <c r="Z422">
        <v>3.3000000000000002E-2</v>
      </c>
      <c r="AA422">
        <v>100</v>
      </c>
      <c r="AC422" t="s">
        <v>47</v>
      </c>
      <c r="AD422" s="17">
        <v>2.46E-2</v>
      </c>
      <c r="AE422">
        <v>57</v>
      </c>
      <c r="AF422" s="8">
        <v>0.5</v>
      </c>
      <c r="AG422" s="8">
        <v>0.5</v>
      </c>
      <c r="AH422" s="8">
        <v>0.6</v>
      </c>
      <c r="AI422" t="s">
        <v>1729</v>
      </c>
      <c r="AJ422" s="17">
        <v>0.377413967112398</v>
      </c>
      <c r="AK422">
        <v>3</v>
      </c>
    </row>
    <row r="423" spans="1:39" x14ac:dyDescent="0.2">
      <c r="A423" t="s">
        <v>1734</v>
      </c>
      <c r="B423" t="s">
        <v>1596</v>
      </c>
      <c r="C423" s="20" t="s">
        <v>1681</v>
      </c>
      <c r="D423" s="20" t="s">
        <v>1735</v>
      </c>
      <c r="E423" t="s">
        <v>1736</v>
      </c>
      <c r="H423" s="4"/>
      <c r="I423" s="9" t="s">
        <v>1737</v>
      </c>
      <c r="J423" s="4"/>
      <c r="K423" s="4"/>
      <c r="L423" s="6" t="s">
        <v>99</v>
      </c>
      <c r="M423" t="s">
        <v>64</v>
      </c>
      <c r="N423" s="6" t="s">
        <v>55</v>
      </c>
      <c r="O423" s="6">
        <v>1</v>
      </c>
      <c r="P423" s="6">
        <v>17</v>
      </c>
      <c r="Q423" s="6" t="s">
        <v>74</v>
      </c>
      <c r="R423" s="7"/>
      <c r="S423" s="8">
        <v>16.440572360000001</v>
      </c>
      <c r="T423" t="s">
        <v>88</v>
      </c>
      <c r="U423" s="18">
        <v>17.938383534903998</v>
      </c>
      <c r="V423" s="18">
        <v>60.648257810382397</v>
      </c>
      <c r="W423" s="18">
        <v>10</v>
      </c>
      <c r="Z423" s="17">
        <v>0.45</v>
      </c>
      <c r="AA423">
        <v>60</v>
      </c>
      <c r="AC423" t="s">
        <v>47</v>
      </c>
      <c r="AD423" s="17">
        <v>0.9</v>
      </c>
      <c r="AE423">
        <v>10</v>
      </c>
      <c r="AF423" s="8">
        <v>1.53</v>
      </c>
      <c r="AG423" s="8">
        <v>1.03</v>
      </c>
      <c r="AH423" s="8">
        <v>0.52340043999999997</v>
      </c>
      <c r="AI423" t="s">
        <v>1738</v>
      </c>
    </row>
    <row r="424" spans="1:39" ht="15.75" customHeight="1" x14ac:dyDescent="0.2">
      <c r="A424" t="s">
        <v>1739</v>
      </c>
      <c r="B424" t="s">
        <v>1596</v>
      </c>
      <c r="C424" s="20" t="s">
        <v>1740</v>
      </c>
      <c r="D424" s="20" t="s">
        <v>1741</v>
      </c>
      <c r="E424" t="s">
        <v>1742</v>
      </c>
      <c r="L424" s="6" t="s">
        <v>94</v>
      </c>
      <c r="M424" t="s">
        <v>64</v>
      </c>
      <c r="N424" s="6" t="s">
        <v>65</v>
      </c>
      <c r="O424" s="6">
        <v>1</v>
      </c>
      <c r="P424"/>
    </row>
    <row r="425" spans="1:39" x14ac:dyDescent="0.2">
      <c r="A425" t="s">
        <v>1743</v>
      </c>
      <c r="B425" t="s">
        <v>1596</v>
      </c>
      <c r="C425" s="20" t="s">
        <v>1744</v>
      </c>
      <c r="D425" s="20" t="s">
        <v>1745</v>
      </c>
      <c r="E425" t="s">
        <v>1746</v>
      </c>
      <c r="H425" s="9" t="s">
        <v>1747</v>
      </c>
      <c r="I425" s="13"/>
      <c r="J425" s="4"/>
      <c r="K425" s="9" t="s">
        <v>1748</v>
      </c>
      <c r="L425" s="5" t="s">
        <v>81</v>
      </c>
      <c r="M425" t="s">
        <v>54</v>
      </c>
      <c r="N425" s="6" t="s">
        <v>46</v>
      </c>
      <c r="O425" s="6">
        <v>1</v>
      </c>
      <c r="P425"/>
      <c r="R425" s="7"/>
      <c r="S425" s="8">
        <v>26.619047722670501</v>
      </c>
      <c r="T425" t="s">
        <v>88</v>
      </c>
      <c r="X425" s="8">
        <v>0.33279999999999998</v>
      </c>
      <c r="Y425" t="s">
        <v>429</v>
      </c>
      <c r="AL425" s="3"/>
    </row>
    <row r="426" spans="1:39" x14ac:dyDescent="0.2">
      <c r="A426" t="s">
        <v>1749</v>
      </c>
      <c r="B426" t="s">
        <v>1596</v>
      </c>
      <c r="C426" s="20" t="s">
        <v>1750</v>
      </c>
      <c r="D426" s="20" t="s">
        <v>1751</v>
      </c>
      <c r="E426" t="s">
        <v>487</v>
      </c>
      <c r="H426" s="4"/>
      <c r="I426" s="9"/>
      <c r="J426" s="4"/>
      <c r="K426" s="9" t="s">
        <v>1752</v>
      </c>
      <c r="L426" s="5" t="s">
        <v>44</v>
      </c>
      <c r="M426" t="s">
        <v>64</v>
      </c>
      <c r="N426" s="6" t="s">
        <v>65</v>
      </c>
      <c r="O426" s="6">
        <v>1</v>
      </c>
      <c r="P426"/>
      <c r="R426" s="7"/>
    </row>
    <row r="427" spans="1:39" x14ac:dyDescent="0.2">
      <c r="A427" t="s">
        <v>1753</v>
      </c>
      <c r="B427" t="s">
        <v>1596</v>
      </c>
      <c r="H427" s="4"/>
      <c r="I427" s="4"/>
      <c r="J427" s="4"/>
      <c r="K427" s="4"/>
      <c r="M427" t="s">
        <v>64</v>
      </c>
      <c r="N427" s="6" t="s">
        <v>55</v>
      </c>
      <c r="O427" s="6">
        <v>1</v>
      </c>
      <c r="R427" s="7"/>
      <c r="S427" s="8"/>
      <c r="X427" s="8"/>
    </row>
    <row r="428" spans="1:39" x14ac:dyDescent="0.2">
      <c r="A428" t="s">
        <v>1754</v>
      </c>
      <c r="B428" t="s">
        <v>1755</v>
      </c>
      <c r="C428" s="20" t="s">
        <v>1756</v>
      </c>
      <c r="D428" s="20" t="s">
        <v>1374</v>
      </c>
      <c r="E428" t="s">
        <v>1757</v>
      </c>
      <c r="H428" s="4"/>
      <c r="I428" s="9" t="s">
        <v>1758</v>
      </c>
      <c r="J428" s="4"/>
      <c r="L428" s="6" t="s">
        <v>99</v>
      </c>
      <c r="M428" t="s">
        <v>207</v>
      </c>
      <c r="N428" s="6" t="s">
        <v>65</v>
      </c>
      <c r="O428" s="6">
        <v>2</v>
      </c>
      <c r="P428" s="6">
        <v>213</v>
      </c>
      <c r="R428" s="7"/>
      <c r="AH428" s="8">
        <v>0.36</v>
      </c>
      <c r="AI428" t="s">
        <v>1759</v>
      </c>
      <c r="AL428" s="3"/>
    </row>
    <row r="429" spans="1:39" x14ac:dyDescent="0.2">
      <c r="A429" t="s">
        <v>1760</v>
      </c>
      <c r="B429" t="s">
        <v>1755</v>
      </c>
      <c r="C429" s="20" t="s">
        <v>1756</v>
      </c>
      <c r="D429" s="20" t="s">
        <v>454</v>
      </c>
      <c r="E429" t="s">
        <v>138</v>
      </c>
      <c r="F429">
        <v>1</v>
      </c>
      <c r="H429" s="4"/>
      <c r="I429" s="9"/>
      <c r="J429" s="4"/>
      <c r="L429" s="6" t="s">
        <v>99</v>
      </c>
      <c r="M429" t="s">
        <v>207</v>
      </c>
      <c r="N429" s="6" t="s">
        <v>65</v>
      </c>
      <c r="O429" s="6">
        <v>2</v>
      </c>
      <c r="R429" s="7"/>
      <c r="AH429" s="8"/>
      <c r="AL429" s="3"/>
    </row>
    <row r="430" spans="1:39" x14ac:dyDescent="0.2">
      <c r="A430" t="s">
        <v>1761</v>
      </c>
      <c r="B430" t="s">
        <v>1755</v>
      </c>
      <c r="C430" s="20" t="s">
        <v>1762</v>
      </c>
      <c r="D430" s="20" t="s">
        <v>1763</v>
      </c>
      <c r="E430" t="s">
        <v>1764</v>
      </c>
      <c r="H430" s="4"/>
      <c r="I430" s="9"/>
      <c r="J430" s="4"/>
      <c r="L430" s="6" t="s">
        <v>99</v>
      </c>
      <c r="M430" t="s">
        <v>64</v>
      </c>
      <c r="N430" s="6" t="s">
        <v>65</v>
      </c>
      <c r="O430" s="6">
        <v>3</v>
      </c>
      <c r="P430"/>
      <c r="R430" s="7"/>
      <c r="S430" s="8">
        <v>14.4672916879661</v>
      </c>
      <c r="T430" t="s">
        <v>1056</v>
      </c>
      <c r="AH430" s="8">
        <v>0.316064805</v>
      </c>
      <c r="AI430" t="s">
        <v>66</v>
      </c>
    </row>
    <row r="431" spans="1:39" x14ac:dyDescent="0.2">
      <c r="A431" t="s">
        <v>1765</v>
      </c>
      <c r="B431" t="s">
        <v>1755</v>
      </c>
      <c r="C431" s="20" t="s">
        <v>1762</v>
      </c>
      <c r="D431" s="20" t="s">
        <v>1766</v>
      </c>
      <c r="E431" t="s">
        <v>59</v>
      </c>
      <c r="I431" s="3"/>
      <c r="J431" s="3"/>
      <c r="K431" s="3"/>
      <c r="L431" s="6" t="s">
        <v>94</v>
      </c>
      <c r="M431" t="s">
        <v>64</v>
      </c>
      <c r="N431" s="6" t="s">
        <v>65</v>
      </c>
      <c r="O431" s="6">
        <v>3</v>
      </c>
      <c r="P431"/>
      <c r="R431" s="3"/>
    </row>
    <row r="432" spans="1:39" x14ac:dyDescent="0.2">
      <c r="A432" t="s">
        <v>1767</v>
      </c>
      <c r="B432" t="s">
        <v>1755</v>
      </c>
      <c r="C432" s="20" t="s">
        <v>1762</v>
      </c>
      <c r="D432" s="20" t="s">
        <v>92</v>
      </c>
      <c r="E432" t="s">
        <v>1768</v>
      </c>
      <c r="I432" s="3"/>
      <c r="J432" s="3"/>
      <c r="K432" s="3"/>
      <c r="L432" s="6" t="s">
        <v>99</v>
      </c>
      <c r="M432" t="s">
        <v>64</v>
      </c>
      <c r="N432" s="6" t="s">
        <v>65</v>
      </c>
      <c r="O432" s="6">
        <v>3</v>
      </c>
      <c r="P432"/>
      <c r="R432" s="3"/>
      <c r="U432" s="18">
        <v>20.180225345490999</v>
      </c>
      <c r="V432" s="18">
        <v>57.676313403303297</v>
      </c>
      <c r="W432">
        <v>4</v>
      </c>
      <c r="AJ432" s="17">
        <v>0.59281094650462896</v>
      </c>
      <c r="AK432">
        <v>5</v>
      </c>
    </row>
    <row r="433" spans="1:38" x14ac:dyDescent="0.2">
      <c r="A433" t="s">
        <v>1769</v>
      </c>
      <c r="B433" t="s">
        <v>1755</v>
      </c>
      <c r="C433" s="20" t="s">
        <v>1762</v>
      </c>
      <c r="D433" s="20" t="s">
        <v>1770</v>
      </c>
      <c r="E433" t="s">
        <v>1764</v>
      </c>
      <c r="I433" s="3"/>
      <c r="J433" s="3"/>
      <c r="K433" s="3"/>
      <c r="L433" s="6" t="s">
        <v>99</v>
      </c>
      <c r="M433" t="s">
        <v>64</v>
      </c>
      <c r="N433" s="6" t="s">
        <v>65</v>
      </c>
      <c r="O433" s="6">
        <v>3</v>
      </c>
      <c r="P433"/>
      <c r="R433" s="3"/>
      <c r="U433" s="18"/>
      <c r="V433" s="18"/>
      <c r="AJ433" s="17"/>
    </row>
    <row r="434" spans="1:38" x14ac:dyDescent="0.2">
      <c r="A434" t="s">
        <v>1771</v>
      </c>
      <c r="B434" t="s">
        <v>1755</v>
      </c>
      <c r="C434" s="20" t="s">
        <v>1762</v>
      </c>
      <c r="D434" s="20" t="s">
        <v>187</v>
      </c>
      <c r="E434" t="s">
        <v>188</v>
      </c>
      <c r="I434" s="3"/>
      <c r="J434" s="3"/>
      <c r="K434" t="s">
        <v>73</v>
      </c>
      <c r="L434" s="6" t="s">
        <v>99</v>
      </c>
      <c r="M434" t="s">
        <v>64</v>
      </c>
      <c r="N434" s="6" t="s">
        <v>65</v>
      </c>
      <c r="O434" s="6">
        <v>3</v>
      </c>
      <c r="P434"/>
      <c r="R434" s="3"/>
      <c r="U434" s="18"/>
      <c r="V434" s="18"/>
      <c r="AJ434" s="17"/>
    </row>
    <row r="435" spans="1:38" x14ac:dyDescent="0.2">
      <c r="A435" t="s">
        <v>1772</v>
      </c>
      <c r="B435" t="s">
        <v>1755</v>
      </c>
      <c r="C435" s="20" t="s">
        <v>1773</v>
      </c>
      <c r="D435" s="20" t="s">
        <v>1774</v>
      </c>
      <c r="E435" t="s">
        <v>169</v>
      </c>
      <c r="I435" s="3"/>
      <c r="J435" s="3"/>
      <c r="L435" s="6" t="s">
        <v>99</v>
      </c>
      <c r="M435" t="s">
        <v>64</v>
      </c>
      <c r="N435" s="6" t="s">
        <v>65</v>
      </c>
      <c r="O435" s="6">
        <v>3</v>
      </c>
      <c r="P435"/>
      <c r="Q435" s="6" t="s">
        <v>74</v>
      </c>
      <c r="R435" s="3"/>
      <c r="AH435" s="8">
        <v>0.47</v>
      </c>
      <c r="AI435" t="s">
        <v>1775</v>
      </c>
    </row>
    <row r="436" spans="1:38" ht="16" x14ac:dyDescent="0.2">
      <c r="A436" t="s">
        <v>1776</v>
      </c>
      <c r="B436" t="s">
        <v>1755</v>
      </c>
      <c r="C436" s="20" t="s">
        <v>1777</v>
      </c>
      <c r="D436" s="20" t="s">
        <v>1778</v>
      </c>
      <c r="E436" s="49" t="s">
        <v>1779</v>
      </c>
      <c r="H436" s="9"/>
      <c r="I436" s="13"/>
      <c r="J436" s="4"/>
      <c r="K436" s="9"/>
      <c r="L436" s="5" t="s">
        <v>99</v>
      </c>
      <c r="M436" t="s">
        <v>1780</v>
      </c>
      <c r="N436" s="6" t="s">
        <v>65</v>
      </c>
      <c r="O436" s="6">
        <v>2</v>
      </c>
      <c r="P436"/>
      <c r="R436" s="7"/>
      <c r="Z436" s="17"/>
      <c r="AA436" s="18"/>
      <c r="AF436" s="17"/>
      <c r="AG436" s="17"/>
    </row>
    <row r="437" spans="1:38" x14ac:dyDescent="0.2">
      <c r="A437" t="s">
        <v>1781</v>
      </c>
      <c r="B437" t="s">
        <v>1755</v>
      </c>
      <c r="C437" s="20" t="s">
        <v>1777</v>
      </c>
      <c r="D437" s="20" t="s">
        <v>1782</v>
      </c>
      <c r="E437" t="s">
        <v>1783</v>
      </c>
      <c r="L437" s="5" t="s">
        <v>99</v>
      </c>
      <c r="M437" t="s">
        <v>64</v>
      </c>
      <c r="N437" s="6" t="s">
        <v>65</v>
      </c>
      <c r="O437" s="6">
        <v>3</v>
      </c>
    </row>
    <row r="438" spans="1:38" ht="16" x14ac:dyDescent="0.2">
      <c r="A438" t="s">
        <v>1784</v>
      </c>
      <c r="B438" t="s">
        <v>1755</v>
      </c>
      <c r="C438" s="72" t="s">
        <v>1777</v>
      </c>
      <c r="D438" s="20" t="s">
        <v>923</v>
      </c>
      <c r="E438" t="s">
        <v>1783</v>
      </c>
      <c r="H438" s="9"/>
      <c r="I438" s="9"/>
      <c r="J438" s="9"/>
      <c r="K438" s="9"/>
      <c r="L438" s="6" t="s">
        <v>99</v>
      </c>
      <c r="M438" t="s">
        <v>64</v>
      </c>
      <c r="N438" s="6" t="s">
        <v>65</v>
      </c>
      <c r="O438" s="6">
        <v>3</v>
      </c>
      <c r="R438" s="7"/>
      <c r="S438" s="8"/>
      <c r="X438" s="8"/>
    </row>
    <row r="439" spans="1:38" x14ac:dyDescent="0.2">
      <c r="A439" t="s">
        <v>1785</v>
      </c>
      <c r="B439" t="s">
        <v>1755</v>
      </c>
      <c r="C439" s="20" t="s">
        <v>1777</v>
      </c>
      <c r="D439" s="20" t="s">
        <v>187</v>
      </c>
      <c r="E439" t="s">
        <v>188</v>
      </c>
      <c r="L439" s="6" t="s">
        <v>99</v>
      </c>
      <c r="M439" t="s">
        <v>64</v>
      </c>
      <c r="N439" s="6" t="s">
        <v>65</v>
      </c>
      <c r="O439" s="6">
        <v>3</v>
      </c>
      <c r="P439"/>
    </row>
    <row r="440" spans="1:38" ht="15.75" customHeight="1" x14ac:dyDescent="0.2">
      <c r="A440" t="s">
        <v>1786</v>
      </c>
      <c r="B440" t="s">
        <v>1787</v>
      </c>
      <c r="C440" s="20" t="s">
        <v>1788</v>
      </c>
      <c r="D440" s="20" t="s">
        <v>1789</v>
      </c>
      <c r="E440" t="s">
        <v>1790</v>
      </c>
      <c r="L440" s="5" t="s">
        <v>117</v>
      </c>
      <c r="M440" t="s">
        <v>64</v>
      </c>
      <c r="N440" s="6" t="s">
        <v>65</v>
      </c>
      <c r="O440" s="6">
        <v>3</v>
      </c>
      <c r="P440"/>
      <c r="Q440" s="6" t="s">
        <v>74</v>
      </c>
      <c r="S440">
        <v>16.466000000000001</v>
      </c>
      <c r="T440" t="s">
        <v>66</v>
      </c>
    </row>
    <row r="441" spans="1:38" x14ac:dyDescent="0.2">
      <c r="A441" t="s">
        <v>1791</v>
      </c>
      <c r="B441" t="s">
        <v>1787</v>
      </c>
      <c r="C441" s="20" t="s">
        <v>1792</v>
      </c>
      <c r="D441" s="20" t="s">
        <v>1675</v>
      </c>
      <c r="E441" t="s">
        <v>1793</v>
      </c>
      <c r="H441" s="4"/>
      <c r="I441" s="9"/>
      <c r="J441" s="4"/>
      <c r="K441" s="9" t="s">
        <v>1794</v>
      </c>
      <c r="L441" s="5" t="s">
        <v>63</v>
      </c>
      <c r="M441" t="s">
        <v>64</v>
      </c>
      <c r="N441" s="6" t="s">
        <v>46</v>
      </c>
      <c r="O441" s="6">
        <v>1</v>
      </c>
      <c r="P441"/>
      <c r="Q441" s="6" t="s">
        <v>74</v>
      </c>
      <c r="R441" s="7"/>
      <c r="AC441" t="s">
        <v>47</v>
      </c>
      <c r="AD441" s="17">
        <v>13.65</v>
      </c>
      <c r="AE441">
        <v>10</v>
      </c>
      <c r="AF441" s="8">
        <v>5.58</v>
      </c>
      <c r="AG441" s="8">
        <v>4.59</v>
      </c>
    </row>
    <row r="442" spans="1:38" x14ac:dyDescent="0.2">
      <c r="A442" t="s">
        <v>1795</v>
      </c>
      <c r="B442" t="s">
        <v>1787</v>
      </c>
      <c r="C442" s="20" t="s">
        <v>1792</v>
      </c>
      <c r="D442" s="20" t="s">
        <v>1796</v>
      </c>
      <c r="E442" t="s">
        <v>85</v>
      </c>
      <c r="H442" s="4"/>
      <c r="I442" s="9" t="s">
        <v>1797</v>
      </c>
      <c r="J442" s="4"/>
      <c r="K442" s="9"/>
      <c r="L442" s="5" t="s">
        <v>63</v>
      </c>
      <c r="M442" t="s">
        <v>64</v>
      </c>
      <c r="N442" s="6" t="s">
        <v>46</v>
      </c>
      <c r="O442" s="6">
        <v>1</v>
      </c>
      <c r="P442" s="6">
        <v>29</v>
      </c>
      <c r="Q442" s="6" t="s">
        <v>74</v>
      </c>
      <c r="R442" s="7"/>
      <c r="S442" s="8">
        <v>39.174801316259803</v>
      </c>
      <c r="T442" t="s">
        <v>88</v>
      </c>
      <c r="X442" s="8">
        <v>2.60068969685687</v>
      </c>
      <c r="Y442" t="s">
        <v>88</v>
      </c>
      <c r="Z442">
        <v>4.2110000000000003</v>
      </c>
      <c r="AA442">
        <v>56</v>
      </c>
      <c r="AD442" s="8">
        <f>0.00327*1000</f>
        <v>3.27</v>
      </c>
      <c r="AE442">
        <v>3</v>
      </c>
      <c r="AF442" s="8">
        <v>3.8</v>
      </c>
      <c r="AG442" s="8">
        <v>3.2</v>
      </c>
    </row>
    <row r="443" spans="1:38" x14ac:dyDescent="0.2">
      <c r="A443" t="s">
        <v>1798</v>
      </c>
      <c r="B443" t="s">
        <v>1787</v>
      </c>
      <c r="C443" s="20" t="s">
        <v>1799</v>
      </c>
      <c r="D443" s="20" t="s">
        <v>1800</v>
      </c>
      <c r="E443" t="s">
        <v>1801</v>
      </c>
      <c r="L443" s="5" t="s">
        <v>81</v>
      </c>
      <c r="M443" t="s">
        <v>64</v>
      </c>
      <c r="N443" s="6" t="s">
        <v>65</v>
      </c>
      <c r="O443" s="6">
        <v>3</v>
      </c>
      <c r="P443"/>
      <c r="Q443" s="6" t="s">
        <v>74</v>
      </c>
    </row>
    <row r="444" spans="1:38" x14ac:dyDescent="0.2">
      <c r="A444" t="s">
        <v>1802</v>
      </c>
      <c r="B444" t="s">
        <v>1803</v>
      </c>
      <c r="C444" s="20" t="s">
        <v>1804</v>
      </c>
      <c r="D444" s="20" t="s">
        <v>792</v>
      </c>
      <c r="E444" t="s">
        <v>161</v>
      </c>
      <c r="H444" s="4"/>
      <c r="I444" s="4"/>
      <c r="J444" s="4"/>
      <c r="K444" s="9" t="s">
        <v>1398</v>
      </c>
      <c r="L444" s="6" t="s">
        <v>94</v>
      </c>
      <c r="M444" t="s">
        <v>64</v>
      </c>
      <c r="N444" s="6" t="s">
        <v>65</v>
      </c>
      <c r="O444" s="6">
        <v>2</v>
      </c>
      <c r="P444"/>
      <c r="R444" s="7"/>
    </row>
    <row r="445" spans="1:38" x14ac:dyDescent="0.2">
      <c r="A445" t="s">
        <v>1805</v>
      </c>
      <c r="B445" t="s">
        <v>1803</v>
      </c>
      <c r="C445" s="20" t="s">
        <v>1804</v>
      </c>
      <c r="D445" s="20" t="s">
        <v>1806</v>
      </c>
      <c r="E445" t="s">
        <v>1807</v>
      </c>
      <c r="H445" s="4"/>
      <c r="I445" s="4"/>
      <c r="J445" s="4"/>
      <c r="K445" s="9" t="s">
        <v>1808</v>
      </c>
      <c r="L445" s="6" t="s">
        <v>94</v>
      </c>
      <c r="M445" t="s">
        <v>64</v>
      </c>
      <c r="N445" s="6" t="s">
        <v>65</v>
      </c>
      <c r="O445" s="6">
        <v>2</v>
      </c>
      <c r="P445" s="6">
        <v>148</v>
      </c>
      <c r="Q445" s="6" t="s">
        <v>74</v>
      </c>
      <c r="R445" s="7"/>
      <c r="S445" s="3">
        <v>18.115942029999999</v>
      </c>
      <c r="T445" s="3" t="s">
        <v>564</v>
      </c>
      <c r="U445" s="18">
        <v>20.8512948755324</v>
      </c>
      <c r="V445" s="18">
        <v>52.1068961055241</v>
      </c>
      <c r="W445" s="18">
        <v>11</v>
      </c>
      <c r="X445" s="8"/>
      <c r="Y445" s="3"/>
      <c r="Z445" s="8"/>
      <c r="AA445" s="3"/>
      <c r="AB445" s="3"/>
      <c r="AC445" s="3"/>
      <c r="AD445" s="17">
        <v>345.07499999999999</v>
      </c>
      <c r="AE445" s="18">
        <v>4</v>
      </c>
      <c r="AF445" s="17">
        <v>11.2</v>
      </c>
      <c r="AG445" s="17">
        <v>7.7249999999999996</v>
      </c>
      <c r="AH445" s="8"/>
      <c r="AI445" s="3"/>
      <c r="AJ445" s="17">
        <v>0.50510947893569802</v>
      </c>
      <c r="AK445" s="3">
        <v>2</v>
      </c>
    </row>
    <row r="446" spans="1:38" x14ac:dyDescent="0.2">
      <c r="A446" t="s">
        <v>1809</v>
      </c>
      <c r="B446" t="s">
        <v>1810</v>
      </c>
      <c r="C446" s="20" t="s">
        <v>1811</v>
      </c>
      <c r="D446" s="20" t="s">
        <v>1812</v>
      </c>
      <c r="E446" t="s">
        <v>1813</v>
      </c>
      <c r="I446" s="3"/>
      <c r="J446" s="3"/>
      <c r="K446" s="3"/>
      <c r="L446" s="6" t="s">
        <v>99</v>
      </c>
      <c r="M446" t="s">
        <v>64</v>
      </c>
      <c r="N446" s="6" t="s">
        <v>65</v>
      </c>
      <c r="O446" s="6">
        <v>1</v>
      </c>
      <c r="P446"/>
      <c r="R446" s="3"/>
      <c r="S446" s="8">
        <v>16.716067276672</v>
      </c>
      <c r="T446" t="s">
        <v>1056</v>
      </c>
      <c r="AH446" s="8">
        <v>0.88500000000000001</v>
      </c>
      <c r="AI446" t="s">
        <v>1814</v>
      </c>
    </row>
    <row r="447" spans="1:38" x14ac:dyDescent="0.2">
      <c r="A447" t="s">
        <v>1815</v>
      </c>
      <c r="B447" t="s">
        <v>1810</v>
      </c>
      <c r="C447" s="20" t="s">
        <v>1816</v>
      </c>
      <c r="D447" s="20" t="s">
        <v>1817</v>
      </c>
      <c r="E447" t="s">
        <v>146</v>
      </c>
      <c r="L447" s="6" t="s">
        <v>99</v>
      </c>
      <c r="M447" t="s">
        <v>64</v>
      </c>
      <c r="N447" s="6" t="s">
        <v>55</v>
      </c>
      <c r="O447" s="6">
        <v>1</v>
      </c>
      <c r="P447"/>
      <c r="Q447" s="6" t="s">
        <v>74</v>
      </c>
      <c r="AJ447" s="14"/>
      <c r="AK447" s="3"/>
      <c r="AL447" s="3"/>
    </row>
    <row r="448" spans="1:38" x14ac:dyDescent="0.2">
      <c r="A448" t="s">
        <v>1818</v>
      </c>
      <c r="B448" t="s">
        <v>1810</v>
      </c>
      <c r="C448" s="20" t="s">
        <v>1816</v>
      </c>
      <c r="D448" s="20" t="s">
        <v>1819</v>
      </c>
      <c r="E448" t="s">
        <v>1820</v>
      </c>
      <c r="I448" s="3"/>
      <c r="J448" s="3"/>
      <c r="K448" s="3"/>
      <c r="L448" s="6" t="s">
        <v>1821</v>
      </c>
      <c r="M448" t="s">
        <v>64</v>
      </c>
      <c r="N448" s="6" t="s">
        <v>65</v>
      </c>
      <c r="O448" s="6">
        <v>1</v>
      </c>
      <c r="P448"/>
      <c r="Q448" s="6" t="s">
        <v>74</v>
      </c>
      <c r="R448" s="3"/>
    </row>
    <row r="449" spans="1:38" x14ac:dyDescent="0.2">
      <c r="A449" t="s">
        <v>1822</v>
      </c>
      <c r="B449" t="s">
        <v>1810</v>
      </c>
      <c r="C449" s="20" t="s">
        <v>1816</v>
      </c>
      <c r="D449" s="20" t="s">
        <v>1823</v>
      </c>
      <c r="E449" t="s">
        <v>1314</v>
      </c>
      <c r="I449" s="3"/>
      <c r="J449" s="3"/>
      <c r="K449" s="3"/>
      <c r="L449" s="6" t="s">
        <v>99</v>
      </c>
      <c r="M449" t="s">
        <v>64</v>
      </c>
      <c r="N449" s="6" t="s">
        <v>55</v>
      </c>
      <c r="O449" s="6">
        <v>1</v>
      </c>
      <c r="P449"/>
      <c r="R449" s="3"/>
    </row>
    <row r="450" spans="1:38" x14ac:dyDescent="0.2">
      <c r="A450" t="s">
        <v>1824</v>
      </c>
      <c r="B450" t="s">
        <v>1810</v>
      </c>
      <c r="C450" s="20" t="s">
        <v>1816</v>
      </c>
      <c r="D450" s="20" t="s">
        <v>1825</v>
      </c>
      <c r="E450" t="s">
        <v>1455</v>
      </c>
      <c r="F450">
        <v>1</v>
      </c>
      <c r="I450" s="3"/>
      <c r="J450" s="3"/>
      <c r="K450" s="3"/>
      <c r="L450" s="6" t="s">
        <v>99</v>
      </c>
      <c r="M450" t="s">
        <v>64</v>
      </c>
      <c r="N450" s="6" t="s">
        <v>55</v>
      </c>
      <c r="O450" s="6">
        <v>1</v>
      </c>
      <c r="P450"/>
      <c r="R450" s="3"/>
    </row>
    <row r="451" spans="1:38" x14ac:dyDescent="0.2">
      <c r="A451" t="s">
        <v>1826</v>
      </c>
      <c r="B451" t="s">
        <v>1810</v>
      </c>
      <c r="C451" s="20" t="s">
        <v>1816</v>
      </c>
      <c r="D451" s="20" t="s">
        <v>1827</v>
      </c>
      <c r="E451" t="s">
        <v>59</v>
      </c>
      <c r="I451" s="3"/>
      <c r="J451" s="3"/>
      <c r="L451" s="6" t="s">
        <v>99</v>
      </c>
      <c r="M451" t="s">
        <v>64</v>
      </c>
      <c r="N451" s="6" t="s">
        <v>55</v>
      </c>
      <c r="O451" s="6">
        <v>1</v>
      </c>
      <c r="P451" s="6">
        <v>11</v>
      </c>
      <c r="Q451" s="6" t="s">
        <v>74</v>
      </c>
      <c r="R451" s="3"/>
      <c r="S451">
        <v>7.5585789869999997</v>
      </c>
      <c r="T451" t="s">
        <v>1828</v>
      </c>
      <c r="AH451" s="8">
        <v>0.4</v>
      </c>
      <c r="AI451" t="s">
        <v>330</v>
      </c>
    </row>
    <row r="452" spans="1:38" x14ac:dyDescent="0.2">
      <c r="A452" t="s">
        <v>1829</v>
      </c>
      <c r="B452" t="s">
        <v>1810</v>
      </c>
      <c r="C452" s="20" t="s">
        <v>1816</v>
      </c>
      <c r="D452" s="20" t="s">
        <v>356</v>
      </c>
      <c r="E452" t="s">
        <v>1830</v>
      </c>
      <c r="I452" s="3"/>
      <c r="J452" s="3"/>
      <c r="K452" s="3"/>
      <c r="L452" s="6" t="s">
        <v>99</v>
      </c>
      <c r="M452" t="s">
        <v>64</v>
      </c>
      <c r="N452" s="6" t="s">
        <v>55</v>
      </c>
      <c r="O452" s="6">
        <v>1</v>
      </c>
      <c r="P452"/>
      <c r="Q452" s="6" t="s">
        <v>74</v>
      </c>
      <c r="R452" s="3"/>
      <c r="S452">
        <v>10.465276449999999</v>
      </c>
      <c r="T452" t="s">
        <v>414</v>
      </c>
      <c r="AI452" t="s">
        <v>1633</v>
      </c>
    </row>
    <row r="453" spans="1:38" x14ac:dyDescent="0.2">
      <c r="A453" t="s">
        <v>1831</v>
      </c>
      <c r="B453" t="s">
        <v>1810</v>
      </c>
      <c r="C453" s="20" t="s">
        <v>1816</v>
      </c>
      <c r="D453" s="20" t="s">
        <v>1832</v>
      </c>
      <c r="E453" t="s">
        <v>1833</v>
      </c>
      <c r="I453" s="3"/>
      <c r="J453" s="3"/>
      <c r="K453" s="3"/>
      <c r="L453" s="6" t="s">
        <v>1821</v>
      </c>
      <c r="M453" t="s">
        <v>64</v>
      </c>
      <c r="N453" s="6" t="s">
        <v>65</v>
      </c>
      <c r="O453" s="6">
        <v>1</v>
      </c>
      <c r="P453"/>
      <c r="Q453" s="6" t="s">
        <v>74</v>
      </c>
      <c r="R453" s="3"/>
      <c r="AH453" s="8">
        <v>0.39</v>
      </c>
      <c r="AI453" t="s">
        <v>1834</v>
      </c>
    </row>
    <row r="454" spans="1:38" x14ac:dyDescent="0.2">
      <c r="A454" t="s">
        <v>1835</v>
      </c>
      <c r="B454" t="s">
        <v>1810</v>
      </c>
      <c r="C454" s="74" t="s">
        <v>1816</v>
      </c>
      <c r="D454" s="20" t="s">
        <v>1836</v>
      </c>
      <c r="E454" t="s">
        <v>59</v>
      </c>
      <c r="I454" s="3"/>
      <c r="J454" s="3"/>
      <c r="K454" t="s">
        <v>73</v>
      </c>
      <c r="L454" s="6" t="s">
        <v>99</v>
      </c>
      <c r="M454" t="s">
        <v>64</v>
      </c>
      <c r="N454" s="6" t="s">
        <v>65</v>
      </c>
      <c r="O454" s="6">
        <v>1</v>
      </c>
      <c r="P454"/>
      <c r="R454" s="3"/>
      <c r="AH454" s="8"/>
    </row>
    <row r="455" spans="1:38" x14ac:dyDescent="0.2">
      <c r="A455" t="s">
        <v>1837</v>
      </c>
      <c r="B455" t="s">
        <v>1810</v>
      </c>
      <c r="C455" s="74" t="s">
        <v>1816</v>
      </c>
      <c r="D455" s="20" t="s">
        <v>864</v>
      </c>
      <c r="E455" t="s">
        <v>188</v>
      </c>
      <c r="I455" s="3"/>
      <c r="J455" s="3"/>
      <c r="K455" t="s">
        <v>73</v>
      </c>
      <c r="L455" s="6" t="s">
        <v>99</v>
      </c>
      <c r="M455" t="s">
        <v>64</v>
      </c>
      <c r="N455" s="6" t="s">
        <v>55</v>
      </c>
      <c r="O455" s="6">
        <v>1</v>
      </c>
      <c r="P455"/>
      <c r="Q455" s="6" t="s">
        <v>74</v>
      </c>
      <c r="R455" s="3"/>
      <c r="AH455" s="8"/>
    </row>
    <row r="456" spans="1:38" x14ac:dyDescent="0.2">
      <c r="A456" t="s">
        <v>1838</v>
      </c>
      <c r="B456" t="s">
        <v>1810</v>
      </c>
      <c r="C456" s="74" t="s">
        <v>1816</v>
      </c>
      <c r="D456" s="20" t="s">
        <v>1839</v>
      </c>
      <c r="E456" t="s">
        <v>188</v>
      </c>
      <c r="I456" s="3"/>
      <c r="J456" s="3"/>
      <c r="K456" t="s">
        <v>73</v>
      </c>
      <c r="L456" s="6" t="s">
        <v>99</v>
      </c>
      <c r="M456" t="s">
        <v>64</v>
      </c>
      <c r="N456" s="6" t="s">
        <v>55</v>
      </c>
      <c r="O456" s="6">
        <v>1</v>
      </c>
      <c r="P456"/>
      <c r="Q456" s="6" t="s">
        <v>74</v>
      </c>
      <c r="R456" s="3"/>
      <c r="AH456" s="8"/>
    </row>
    <row r="457" spans="1:38" x14ac:dyDescent="0.2">
      <c r="A457" t="s">
        <v>1840</v>
      </c>
      <c r="B457" t="s">
        <v>1810</v>
      </c>
      <c r="C457" s="20" t="s">
        <v>1816</v>
      </c>
      <c r="D457" s="20" t="s">
        <v>1374</v>
      </c>
      <c r="E457" t="s">
        <v>59</v>
      </c>
      <c r="I457" s="3"/>
      <c r="J457" s="3"/>
      <c r="L457" s="6" t="s">
        <v>99</v>
      </c>
      <c r="M457" t="s">
        <v>64</v>
      </c>
      <c r="N457" s="6" t="s">
        <v>65</v>
      </c>
      <c r="O457" s="6">
        <v>1</v>
      </c>
      <c r="P457"/>
      <c r="Q457" s="6" t="s">
        <v>74</v>
      </c>
      <c r="R457" s="3"/>
      <c r="S457">
        <v>10.78308887</v>
      </c>
      <c r="T457" t="s">
        <v>1841</v>
      </c>
      <c r="AH457" s="8">
        <v>0.37187246800000001</v>
      </c>
      <c r="AI457" t="s">
        <v>66</v>
      </c>
    </row>
    <row r="458" spans="1:38" x14ac:dyDescent="0.2">
      <c r="A458" t="s">
        <v>1842</v>
      </c>
      <c r="B458" t="s">
        <v>1810</v>
      </c>
      <c r="C458" s="20" t="s">
        <v>1816</v>
      </c>
      <c r="D458" s="20" t="s">
        <v>1843</v>
      </c>
      <c r="E458" t="s">
        <v>1844</v>
      </c>
      <c r="L458" s="6" t="s">
        <v>99</v>
      </c>
      <c r="M458" t="s">
        <v>64</v>
      </c>
      <c r="N458" s="6" t="s">
        <v>55</v>
      </c>
      <c r="O458" s="6">
        <v>1</v>
      </c>
      <c r="P458"/>
      <c r="S458">
        <f>(10.276+9.838)/2</f>
        <v>10.056999999999999</v>
      </c>
      <c r="T458" t="s">
        <v>1845</v>
      </c>
      <c r="AH458" s="8">
        <v>0.41</v>
      </c>
      <c r="AI458" t="s">
        <v>66</v>
      </c>
    </row>
    <row r="459" spans="1:38" x14ac:dyDescent="0.2">
      <c r="A459" t="s">
        <v>1846</v>
      </c>
      <c r="B459" t="s">
        <v>1810</v>
      </c>
      <c r="C459" s="20" t="s">
        <v>1847</v>
      </c>
      <c r="D459" s="20" t="s">
        <v>145</v>
      </c>
      <c r="E459" t="s">
        <v>146</v>
      </c>
      <c r="H459" s="9"/>
      <c r="I459" s="13"/>
      <c r="J459" s="9"/>
      <c r="K459" s="9"/>
      <c r="L459" s="6" t="s">
        <v>99</v>
      </c>
      <c r="M459" t="s">
        <v>64</v>
      </c>
      <c r="N459" s="6" t="s">
        <v>65</v>
      </c>
      <c r="O459" s="6">
        <v>1</v>
      </c>
      <c r="R459" s="7"/>
      <c r="AL459" s="3"/>
    </row>
    <row r="460" spans="1:38" x14ac:dyDescent="0.2">
      <c r="A460" t="s">
        <v>1848</v>
      </c>
      <c r="B460" t="s">
        <v>1810</v>
      </c>
      <c r="C460" s="20" t="s">
        <v>1849</v>
      </c>
      <c r="D460" s="20" t="s">
        <v>1850</v>
      </c>
      <c r="E460" t="s">
        <v>1851</v>
      </c>
      <c r="H460" s="9" t="s">
        <v>1852</v>
      </c>
      <c r="I460" s="13" t="s">
        <v>1853</v>
      </c>
      <c r="J460" s="9" t="s">
        <v>1854</v>
      </c>
      <c r="K460" s="9" t="s">
        <v>1855</v>
      </c>
      <c r="L460" s="6" t="s">
        <v>99</v>
      </c>
      <c r="M460" t="s">
        <v>64</v>
      </c>
      <c r="N460" s="6" t="s">
        <v>65</v>
      </c>
      <c r="O460" s="6">
        <v>2</v>
      </c>
      <c r="P460" s="6" t="s">
        <v>1856</v>
      </c>
      <c r="Q460" s="6" t="s">
        <v>74</v>
      </c>
      <c r="R460" s="7"/>
      <c r="AF460" s="8" t="s">
        <v>47</v>
      </c>
      <c r="AH460" s="8">
        <v>0.68</v>
      </c>
      <c r="AI460" t="s">
        <v>1857</v>
      </c>
    </row>
    <row r="461" spans="1:38" x14ac:dyDescent="0.2">
      <c r="A461" t="s">
        <v>1858</v>
      </c>
      <c r="B461" t="s">
        <v>1810</v>
      </c>
      <c r="C461" s="20" t="s">
        <v>1849</v>
      </c>
      <c r="D461" s="20" t="s">
        <v>492</v>
      </c>
      <c r="E461" t="s">
        <v>59</v>
      </c>
      <c r="H461" s="9" t="s">
        <v>1859</v>
      </c>
      <c r="I461" s="4"/>
      <c r="J461" s="4"/>
      <c r="K461" s="4"/>
      <c r="L461" s="6" t="s">
        <v>99</v>
      </c>
      <c r="M461" t="s">
        <v>64</v>
      </c>
      <c r="N461" s="6" t="s">
        <v>65</v>
      </c>
      <c r="O461" s="6">
        <v>3</v>
      </c>
      <c r="P461"/>
      <c r="R461" s="7"/>
      <c r="U461" s="18">
        <v>18.3249469953623</v>
      </c>
      <c r="V461" s="18">
        <v>54.941298296718003</v>
      </c>
      <c r="W461" s="18">
        <v>10</v>
      </c>
      <c r="AC461" t="s">
        <v>47</v>
      </c>
      <c r="AD461" s="17">
        <v>1558.75</v>
      </c>
      <c r="AE461" s="18">
        <v>4</v>
      </c>
      <c r="AF461" s="17">
        <v>15.425000000000001</v>
      </c>
      <c r="AG461" s="17">
        <v>12.85</v>
      </c>
      <c r="AJ461" s="17">
        <v>0.58107021011025595</v>
      </c>
      <c r="AK461">
        <v>5</v>
      </c>
    </row>
    <row r="462" spans="1:38" x14ac:dyDescent="0.2">
      <c r="A462" t="s">
        <v>1860</v>
      </c>
      <c r="B462" t="s">
        <v>1810</v>
      </c>
      <c r="C462" s="20" t="s">
        <v>1861</v>
      </c>
      <c r="D462" s="20" t="s">
        <v>1862</v>
      </c>
      <c r="E462" t="s">
        <v>1863</v>
      </c>
      <c r="I462" s="3"/>
      <c r="J462" s="3"/>
      <c r="L462" s="6" t="s">
        <v>94</v>
      </c>
      <c r="M462" t="s">
        <v>64</v>
      </c>
      <c r="N462" s="6" t="s">
        <v>65</v>
      </c>
      <c r="O462" s="6">
        <v>2</v>
      </c>
      <c r="P462"/>
      <c r="R462" s="3"/>
      <c r="AC462" t="s">
        <v>47</v>
      </c>
    </row>
    <row r="463" spans="1:38" x14ac:dyDescent="0.2">
      <c r="A463" t="s">
        <v>1864</v>
      </c>
      <c r="B463" t="s">
        <v>1810</v>
      </c>
      <c r="C463" s="20" t="s">
        <v>1865</v>
      </c>
      <c r="D463" s="20" t="s">
        <v>150</v>
      </c>
      <c r="E463" t="s">
        <v>1866</v>
      </c>
      <c r="H463" s="4"/>
      <c r="I463" s="4"/>
      <c r="J463" s="4"/>
      <c r="K463" s="9" t="s">
        <v>1398</v>
      </c>
      <c r="L463" s="6" t="s">
        <v>94</v>
      </c>
      <c r="M463" t="s">
        <v>64</v>
      </c>
      <c r="N463" s="6" t="s">
        <v>65</v>
      </c>
      <c r="O463" s="6">
        <v>1</v>
      </c>
      <c r="P463"/>
      <c r="Q463" s="6" t="s">
        <v>74</v>
      </c>
      <c r="R463" s="7"/>
      <c r="S463">
        <v>15.61586052</v>
      </c>
      <c r="T463" t="s">
        <v>66</v>
      </c>
      <c r="Z463" s="17">
        <v>24.4</v>
      </c>
      <c r="AA463">
        <v>2</v>
      </c>
      <c r="AB463">
        <v>50</v>
      </c>
      <c r="AC463" t="s">
        <v>100</v>
      </c>
      <c r="AF463" s="8">
        <v>4.75</v>
      </c>
      <c r="AG463" s="8">
        <v>2.75</v>
      </c>
      <c r="AH463" s="8">
        <v>0.68</v>
      </c>
      <c r="AI463" t="s">
        <v>1867</v>
      </c>
    </row>
    <row r="464" spans="1:38" x14ac:dyDescent="0.2">
      <c r="A464" t="s">
        <v>1868</v>
      </c>
      <c r="B464" t="s">
        <v>1810</v>
      </c>
      <c r="C464" s="69" t="s">
        <v>1865</v>
      </c>
      <c r="D464" s="20" t="s">
        <v>1869</v>
      </c>
      <c r="E464" t="s">
        <v>1870</v>
      </c>
      <c r="H464" s="4"/>
      <c r="I464" s="4"/>
      <c r="J464" s="4"/>
      <c r="K464" s="9" t="s">
        <v>1871</v>
      </c>
      <c r="L464" s="6" t="s">
        <v>99</v>
      </c>
      <c r="M464" t="s">
        <v>64</v>
      </c>
      <c r="N464" s="6" t="s">
        <v>65</v>
      </c>
      <c r="O464" s="6">
        <v>2</v>
      </c>
      <c r="P464"/>
      <c r="Q464" s="6" t="s">
        <v>74</v>
      </c>
      <c r="R464" s="7"/>
      <c r="S464">
        <v>16.967106399999999</v>
      </c>
      <c r="T464" t="s">
        <v>66</v>
      </c>
      <c r="AH464" s="8">
        <v>0.68972726699999998</v>
      </c>
      <c r="AI464" t="s">
        <v>66</v>
      </c>
    </row>
    <row r="465" spans="1:38" x14ac:dyDescent="0.2">
      <c r="A465" t="s">
        <v>1872</v>
      </c>
      <c r="B465" t="s">
        <v>1873</v>
      </c>
      <c r="C465" s="20" t="s">
        <v>1874</v>
      </c>
      <c r="D465" s="20" t="s">
        <v>1875</v>
      </c>
      <c r="E465" t="s">
        <v>85</v>
      </c>
      <c r="I465" s="3"/>
      <c r="J465" s="3"/>
      <c r="K465" s="9" t="s">
        <v>229</v>
      </c>
      <c r="L465" s="5" t="s">
        <v>44</v>
      </c>
      <c r="M465" t="s">
        <v>64</v>
      </c>
      <c r="N465" s="6" t="s">
        <v>46</v>
      </c>
      <c r="O465" s="6">
        <v>2</v>
      </c>
      <c r="P465"/>
      <c r="R465" s="3"/>
      <c r="AL465" s="3"/>
    </row>
    <row r="466" spans="1:38" ht="16" x14ac:dyDescent="0.2">
      <c r="A466" t="s">
        <v>1876</v>
      </c>
      <c r="B466" t="s">
        <v>1873</v>
      </c>
      <c r="C466" s="68" t="s">
        <v>1874</v>
      </c>
      <c r="D466" s="20" t="s">
        <v>1877</v>
      </c>
      <c r="E466" t="s">
        <v>1878</v>
      </c>
      <c r="H466" s="87"/>
      <c r="I466" s="2"/>
      <c r="J466" s="2"/>
      <c r="K466" s="44"/>
      <c r="L466" s="5" t="s">
        <v>44</v>
      </c>
      <c r="M466" t="s">
        <v>64</v>
      </c>
      <c r="N466" s="6" t="s">
        <v>55</v>
      </c>
      <c r="O466" s="6">
        <v>2</v>
      </c>
      <c r="P466"/>
      <c r="R466" s="2"/>
    </row>
    <row r="467" spans="1:38" ht="16" x14ac:dyDescent="0.2">
      <c r="A467" t="s">
        <v>1879</v>
      </c>
      <c r="B467" t="s">
        <v>1880</v>
      </c>
      <c r="C467" s="20" t="s">
        <v>1881</v>
      </c>
      <c r="D467" s="68" t="s">
        <v>1882</v>
      </c>
      <c r="E467" t="s">
        <v>1883</v>
      </c>
      <c r="H467" s="87"/>
      <c r="I467" s="2"/>
      <c r="J467" s="2"/>
      <c r="K467" s="44"/>
      <c r="L467" s="6" t="s">
        <v>99</v>
      </c>
      <c r="M467" t="s">
        <v>64</v>
      </c>
      <c r="N467" s="6" t="s">
        <v>65</v>
      </c>
      <c r="O467" s="6">
        <v>3</v>
      </c>
      <c r="P467"/>
      <c r="R467" s="2"/>
    </row>
    <row r="468" spans="1:38" x14ac:dyDescent="0.2">
      <c r="A468" t="s">
        <v>1884</v>
      </c>
      <c r="B468" t="s">
        <v>1880</v>
      </c>
      <c r="C468" s="20" t="s">
        <v>1885</v>
      </c>
      <c r="D468" s="20" t="s">
        <v>1886</v>
      </c>
      <c r="E468" t="s">
        <v>1325</v>
      </c>
      <c r="I468" s="3"/>
      <c r="J468" s="3"/>
      <c r="L468" s="6" t="s">
        <v>99</v>
      </c>
      <c r="M468" t="s">
        <v>64</v>
      </c>
      <c r="N468" s="6" t="s">
        <v>55</v>
      </c>
      <c r="O468" s="6">
        <v>4</v>
      </c>
      <c r="P468"/>
      <c r="Q468" s="6" t="s">
        <v>74</v>
      </c>
      <c r="R468" s="3"/>
      <c r="S468">
        <v>13.09</v>
      </c>
      <c r="T468" t="s">
        <v>1722</v>
      </c>
      <c r="Z468">
        <v>2616.3666666666668</v>
      </c>
      <c r="AA468">
        <v>3</v>
      </c>
      <c r="AC468" t="s">
        <v>47</v>
      </c>
      <c r="AD468" s="17">
        <v>4814.7</v>
      </c>
      <c r="AE468" s="18">
        <v>2</v>
      </c>
      <c r="AF468" s="17">
        <v>22.25</v>
      </c>
      <c r="AG468" s="17">
        <v>21.15</v>
      </c>
      <c r="AH468" s="8">
        <v>0.41007213599999998</v>
      </c>
      <c r="AI468" t="s">
        <v>66</v>
      </c>
    </row>
    <row r="469" spans="1:38" ht="16" x14ac:dyDescent="0.2">
      <c r="A469" t="s">
        <v>1887</v>
      </c>
      <c r="B469" t="s">
        <v>1880</v>
      </c>
      <c r="C469" s="72" t="s">
        <v>1888</v>
      </c>
      <c r="D469" s="20" t="s">
        <v>1889</v>
      </c>
      <c r="E469" t="s">
        <v>1890</v>
      </c>
      <c r="F469">
        <v>1</v>
      </c>
      <c r="H469" s="9" t="s">
        <v>1891</v>
      </c>
      <c r="I469" s="9" t="s">
        <v>1892</v>
      </c>
      <c r="J469" s="9"/>
      <c r="K469" s="9"/>
      <c r="L469" s="6" t="s">
        <v>99</v>
      </c>
      <c r="M469" t="s">
        <v>64</v>
      </c>
      <c r="N469" s="6" t="s">
        <v>65</v>
      </c>
      <c r="O469" s="6">
        <v>4</v>
      </c>
      <c r="Q469" s="6" t="s">
        <v>74</v>
      </c>
      <c r="R469" s="7"/>
      <c r="S469" s="8"/>
      <c r="X469" s="8"/>
    </row>
    <row r="470" spans="1:38" ht="16" x14ac:dyDescent="0.2">
      <c r="A470" t="s">
        <v>1893</v>
      </c>
      <c r="B470" t="s">
        <v>1880</v>
      </c>
      <c r="C470" s="72" t="s">
        <v>1888</v>
      </c>
      <c r="D470" s="20" t="s">
        <v>92</v>
      </c>
      <c r="E470" t="s">
        <v>1894</v>
      </c>
      <c r="F470">
        <v>1</v>
      </c>
      <c r="H470" s="9"/>
      <c r="I470" s="9"/>
      <c r="J470" s="9"/>
      <c r="K470" s="9"/>
      <c r="L470" s="6" t="s">
        <v>99</v>
      </c>
      <c r="M470" t="s">
        <v>64</v>
      </c>
      <c r="N470" s="6" t="s">
        <v>65</v>
      </c>
      <c r="O470" s="6">
        <v>3</v>
      </c>
      <c r="R470" s="7"/>
      <c r="S470" s="8"/>
      <c r="X470" s="8"/>
    </row>
    <row r="471" spans="1:38" x14ac:dyDescent="0.2">
      <c r="A471" t="s">
        <v>1895</v>
      </c>
      <c r="B471" t="s">
        <v>1880</v>
      </c>
      <c r="C471" s="20" t="s">
        <v>1888</v>
      </c>
      <c r="D471" s="20" t="s">
        <v>1896</v>
      </c>
      <c r="E471" t="s">
        <v>146</v>
      </c>
      <c r="I471" s="3"/>
      <c r="J471" s="3"/>
      <c r="K471" s="3"/>
      <c r="L471" s="6" t="s">
        <v>99</v>
      </c>
      <c r="M471" t="s">
        <v>64</v>
      </c>
      <c r="N471" s="6" t="s">
        <v>65</v>
      </c>
      <c r="O471" s="6">
        <v>3</v>
      </c>
      <c r="P471"/>
      <c r="R471" s="3"/>
      <c r="S471" s="8">
        <v>14.366124371748599</v>
      </c>
      <c r="T471" t="s">
        <v>147</v>
      </c>
      <c r="X471">
        <v>299.82400000000001</v>
      </c>
      <c r="Y471" t="s">
        <v>66</v>
      </c>
      <c r="AH471" s="8">
        <v>0.47333333300000002</v>
      </c>
      <c r="AI471" t="s">
        <v>1897</v>
      </c>
    </row>
    <row r="472" spans="1:38" x14ac:dyDescent="0.2">
      <c r="A472" t="s">
        <v>1898</v>
      </c>
      <c r="B472" t="s">
        <v>1880</v>
      </c>
      <c r="C472" s="20" t="s">
        <v>1888</v>
      </c>
      <c r="D472" s="20" t="s">
        <v>364</v>
      </c>
      <c r="I472" s="3"/>
      <c r="J472" s="3"/>
      <c r="K472" s="3"/>
      <c r="L472" s="6" t="s">
        <v>99</v>
      </c>
      <c r="M472" t="s">
        <v>64</v>
      </c>
      <c r="N472" s="6" t="s">
        <v>65</v>
      </c>
      <c r="O472" s="6">
        <v>3</v>
      </c>
      <c r="P472"/>
      <c r="R472" s="3"/>
      <c r="S472" s="8"/>
      <c r="AH472" s="8"/>
    </row>
    <row r="473" spans="1:38" ht="15" customHeight="1" x14ac:dyDescent="0.2">
      <c r="A473" t="s">
        <v>1899</v>
      </c>
      <c r="B473" t="s">
        <v>1900</v>
      </c>
      <c r="C473" s="20" t="s">
        <v>1901</v>
      </c>
      <c r="D473" s="20" t="s">
        <v>1902</v>
      </c>
      <c r="E473" t="s">
        <v>604</v>
      </c>
      <c r="I473" s="3"/>
      <c r="J473" s="3"/>
      <c r="K473" s="3"/>
      <c r="L473" s="6" t="s">
        <v>99</v>
      </c>
      <c r="M473" t="s">
        <v>64</v>
      </c>
      <c r="N473" s="6" t="s">
        <v>65</v>
      </c>
      <c r="O473" s="6">
        <v>1</v>
      </c>
      <c r="P473"/>
      <c r="R473" s="3"/>
      <c r="S473" s="8"/>
      <c r="AH473" s="8"/>
    </row>
    <row r="474" spans="1:38" ht="15" customHeight="1" x14ac:dyDescent="0.2">
      <c r="A474" t="s">
        <v>1903</v>
      </c>
      <c r="B474" t="s">
        <v>1900</v>
      </c>
      <c r="C474" s="20" t="s">
        <v>1904</v>
      </c>
      <c r="D474" s="20" t="s">
        <v>1905</v>
      </c>
      <c r="E474" t="s">
        <v>553</v>
      </c>
      <c r="F474">
        <v>1</v>
      </c>
      <c r="I474" s="3"/>
      <c r="J474" s="3"/>
      <c r="K474" s="3"/>
      <c r="L474" s="6" t="s">
        <v>94</v>
      </c>
      <c r="M474" t="s">
        <v>64</v>
      </c>
      <c r="N474" s="6" t="s">
        <v>65</v>
      </c>
      <c r="O474" s="6">
        <v>2</v>
      </c>
      <c r="P474"/>
      <c r="R474" s="3"/>
      <c r="S474" s="8"/>
      <c r="AH474" s="8"/>
    </row>
    <row r="475" spans="1:38" ht="17.25" customHeight="1" x14ac:dyDescent="0.2">
      <c r="A475" t="s">
        <v>1906</v>
      </c>
      <c r="B475" t="s">
        <v>1900</v>
      </c>
      <c r="C475" s="20" t="s">
        <v>1904</v>
      </c>
      <c r="D475" s="20" t="s">
        <v>1907</v>
      </c>
      <c r="E475" t="s">
        <v>1908</v>
      </c>
      <c r="H475" s="4"/>
      <c r="I475" s="9"/>
      <c r="J475" s="4"/>
      <c r="K475" s="9" t="s">
        <v>1255</v>
      </c>
      <c r="L475" s="6" t="s">
        <v>94</v>
      </c>
      <c r="M475" t="s">
        <v>64</v>
      </c>
      <c r="N475" s="6" t="s">
        <v>65</v>
      </c>
      <c r="O475" s="6">
        <v>3</v>
      </c>
      <c r="P475"/>
      <c r="R475" s="7"/>
      <c r="AC475" t="s">
        <v>47</v>
      </c>
      <c r="AD475" s="17">
        <v>664.8</v>
      </c>
      <c r="AE475" s="18">
        <v>1</v>
      </c>
      <c r="AF475" s="17">
        <v>11</v>
      </c>
      <c r="AG475" s="17">
        <v>10.3</v>
      </c>
      <c r="AJ475" s="14"/>
      <c r="AK475" s="3"/>
      <c r="AL475" s="3"/>
    </row>
    <row r="476" spans="1:38" x14ac:dyDescent="0.2">
      <c r="A476" t="s">
        <v>1909</v>
      </c>
      <c r="B476" t="s">
        <v>1900</v>
      </c>
      <c r="C476" s="20" t="s">
        <v>1904</v>
      </c>
      <c r="D476" s="20" t="s">
        <v>531</v>
      </c>
      <c r="E476" t="s">
        <v>59</v>
      </c>
      <c r="H476" t="s">
        <v>1910</v>
      </c>
      <c r="I476" s="3"/>
      <c r="J476" s="3"/>
      <c r="L476" s="6" t="s">
        <v>94</v>
      </c>
      <c r="M476" t="s">
        <v>64</v>
      </c>
      <c r="N476" s="6" t="s">
        <v>65</v>
      </c>
      <c r="O476" s="6">
        <v>2</v>
      </c>
      <c r="P476"/>
      <c r="Q476" s="6" t="s">
        <v>74</v>
      </c>
      <c r="R476" s="3"/>
      <c r="AL476" s="3"/>
    </row>
    <row r="477" spans="1:38" x14ac:dyDescent="0.2">
      <c r="A477" t="s">
        <v>1911</v>
      </c>
      <c r="B477" t="s">
        <v>1900</v>
      </c>
      <c r="C477" s="20" t="s">
        <v>1904</v>
      </c>
      <c r="D477" s="20" t="s">
        <v>187</v>
      </c>
      <c r="E477" t="s">
        <v>188</v>
      </c>
      <c r="L477" s="6" t="s">
        <v>99</v>
      </c>
      <c r="M477" t="s">
        <v>64</v>
      </c>
      <c r="N477" s="6" t="s">
        <v>55</v>
      </c>
      <c r="O477" s="6" t="s">
        <v>208</v>
      </c>
      <c r="P477"/>
    </row>
    <row r="478" spans="1:38" x14ac:dyDescent="0.2">
      <c r="A478" t="s">
        <v>1912</v>
      </c>
      <c r="B478" t="s">
        <v>1900</v>
      </c>
      <c r="C478" s="20" t="s">
        <v>1913</v>
      </c>
      <c r="D478" s="20" t="s">
        <v>1914</v>
      </c>
      <c r="E478" t="s">
        <v>1915</v>
      </c>
      <c r="F478">
        <v>1</v>
      </c>
      <c r="L478" s="6" t="s">
        <v>99</v>
      </c>
      <c r="M478" t="s">
        <v>64</v>
      </c>
      <c r="N478" s="6" t="s">
        <v>65</v>
      </c>
      <c r="O478" s="6">
        <v>1</v>
      </c>
      <c r="P478"/>
    </row>
    <row r="479" spans="1:38" x14ac:dyDescent="0.2">
      <c r="A479" t="s">
        <v>1916</v>
      </c>
      <c r="B479" t="s">
        <v>1900</v>
      </c>
      <c r="C479" s="20" t="s">
        <v>1913</v>
      </c>
      <c r="D479" s="20" t="s">
        <v>1917</v>
      </c>
      <c r="E479" t="s">
        <v>690</v>
      </c>
      <c r="H479" s="4"/>
      <c r="I479" s="9" t="s">
        <v>1918</v>
      </c>
      <c r="J479" s="4"/>
      <c r="K479" s="9"/>
      <c r="L479" s="6" t="s">
        <v>99</v>
      </c>
      <c r="M479" t="s">
        <v>64</v>
      </c>
      <c r="N479" s="6" t="s">
        <v>65</v>
      </c>
      <c r="O479" s="6">
        <v>1</v>
      </c>
      <c r="P479" s="6">
        <v>109</v>
      </c>
      <c r="R479" s="7"/>
      <c r="AB479">
        <v>173</v>
      </c>
      <c r="AC479" t="s">
        <v>315</v>
      </c>
      <c r="AH479" s="8">
        <v>0.8</v>
      </c>
      <c r="AI479" t="s">
        <v>1919</v>
      </c>
      <c r="AJ479" s="14"/>
      <c r="AK479" s="3"/>
    </row>
    <row r="480" spans="1:38" x14ac:dyDescent="0.2">
      <c r="A480" t="s">
        <v>1920</v>
      </c>
      <c r="B480" t="s">
        <v>1900</v>
      </c>
      <c r="C480" s="20" t="s">
        <v>1921</v>
      </c>
      <c r="D480" s="20" t="s">
        <v>187</v>
      </c>
      <c r="E480" t="s">
        <v>188</v>
      </c>
      <c r="H480" s="4"/>
      <c r="I480" s="9"/>
      <c r="J480" s="4"/>
      <c r="K480" s="9" t="s">
        <v>217</v>
      </c>
      <c r="L480" s="6" t="s">
        <v>94</v>
      </c>
      <c r="M480" t="s">
        <v>64</v>
      </c>
      <c r="N480" s="6" t="s">
        <v>65</v>
      </c>
      <c r="O480" s="6">
        <v>2</v>
      </c>
      <c r="P480"/>
      <c r="R480" s="7"/>
    </row>
    <row r="481" spans="1:39" x14ac:dyDescent="0.2">
      <c r="A481" t="s">
        <v>1922</v>
      </c>
      <c r="B481" t="s">
        <v>1900</v>
      </c>
      <c r="C481" s="69" t="s">
        <v>1923</v>
      </c>
      <c r="D481" s="20" t="s">
        <v>1924</v>
      </c>
      <c r="E481" t="s">
        <v>1925</v>
      </c>
      <c r="H481" s="4"/>
      <c r="I481" s="9"/>
      <c r="J481" s="4"/>
      <c r="K481" s="9" t="s">
        <v>1255</v>
      </c>
      <c r="L481" s="6" t="s">
        <v>99</v>
      </c>
      <c r="M481" t="s">
        <v>64</v>
      </c>
      <c r="N481" s="6" t="s">
        <v>65</v>
      </c>
      <c r="O481" s="6">
        <v>1</v>
      </c>
      <c r="P481"/>
      <c r="R481" s="7"/>
      <c r="S481">
        <v>19.348885410000001</v>
      </c>
      <c r="T481" t="s">
        <v>66</v>
      </c>
      <c r="X481">
        <v>35.57</v>
      </c>
      <c r="Y481" t="s">
        <v>66</v>
      </c>
      <c r="AH481" s="8">
        <v>0.74615264699999995</v>
      </c>
      <c r="AI481" t="s">
        <v>66</v>
      </c>
    </row>
    <row r="482" spans="1:39" s="3" customFormat="1" x14ac:dyDescent="0.2">
      <c r="A482" t="s">
        <v>1926</v>
      </c>
      <c r="B482" t="s">
        <v>1900</v>
      </c>
      <c r="C482" s="20" t="s">
        <v>1923</v>
      </c>
      <c r="D482" s="20" t="s">
        <v>1927</v>
      </c>
      <c r="E482" t="s">
        <v>85</v>
      </c>
      <c r="F482"/>
      <c r="G482"/>
      <c r="H482" s="4"/>
      <c r="I482" s="9" t="s">
        <v>1928</v>
      </c>
      <c r="J482" s="4"/>
      <c r="K482" s="9"/>
      <c r="L482" s="6" t="s">
        <v>99</v>
      </c>
      <c r="M482" t="s">
        <v>64</v>
      </c>
      <c r="N482" s="6" t="s">
        <v>46</v>
      </c>
      <c r="O482" s="6">
        <v>1</v>
      </c>
      <c r="P482" s="6">
        <v>98</v>
      </c>
      <c r="Q482" s="6" t="s">
        <v>74</v>
      </c>
      <c r="R482" s="7"/>
      <c r="S482">
        <v>10.97694841</v>
      </c>
      <c r="T482" t="s">
        <v>414</v>
      </c>
      <c r="U482" s="18">
        <v>10.017257614813801</v>
      </c>
      <c r="V482" s="18">
        <v>105.190558655185</v>
      </c>
      <c r="W482" s="18">
        <v>10</v>
      </c>
      <c r="X482" s="8">
        <v>8</v>
      </c>
      <c r="Y482" t="s">
        <v>837</v>
      </c>
      <c r="Z482" s="8">
        <v>5.094736842105263</v>
      </c>
      <c r="AA482">
        <v>19</v>
      </c>
      <c r="AB482"/>
      <c r="AC482"/>
      <c r="AD482" s="17">
        <v>8.1999999999999993</v>
      </c>
      <c r="AE482">
        <v>10</v>
      </c>
      <c r="AF482" s="8">
        <v>3.24</v>
      </c>
      <c r="AG482" s="8">
        <v>2.58</v>
      </c>
      <c r="AH482" s="8">
        <v>0.65200000000000002</v>
      </c>
      <c r="AI482" t="s">
        <v>1929</v>
      </c>
      <c r="AJ482" s="18">
        <v>0.58472510999958505</v>
      </c>
      <c r="AK482">
        <v>5</v>
      </c>
      <c r="AL482"/>
      <c r="AM482"/>
    </row>
    <row r="483" spans="1:39" s="3" customFormat="1" x14ac:dyDescent="0.2">
      <c r="A483" t="s">
        <v>1930</v>
      </c>
      <c r="B483" t="s">
        <v>1900</v>
      </c>
      <c r="C483" s="20" t="s">
        <v>1931</v>
      </c>
      <c r="D483" s="20" t="s">
        <v>1932</v>
      </c>
      <c r="E483" t="s">
        <v>1933</v>
      </c>
      <c r="F483">
        <v>1</v>
      </c>
      <c r="G483"/>
      <c r="H483" s="4"/>
      <c r="I483" s="9"/>
      <c r="J483" s="4"/>
      <c r="K483" s="9"/>
      <c r="L483" s="6" t="s">
        <v>94</v>
      </c>
      <c r="M483" t="s">
        <v>64</v>
      </c>
      <c r="N483" s="6" t="s">
        <v>55</v>
      </c>
      <c r="O483" s="6">
        <v>4</v>
      </c>
      <c r="P483" s="6"/>
      <c r="Q483" s="6"/>
      <c r="R483" s="7"/>
      <c r="S483"/>
      <c r="T483"/>
      <c r="U483" s="18"/>
      <c r="V483" s="18"/>
      <c r="W483" s="18"/>
      <c r="X483" s="8"/>
      <c r="Y483"/>
      <c r="Z483" s="8"/>
      <c r="AA483"/>
      <c r="AB483"/>
      <c r="AC483"/>
      <c r="AD483" s="17"/>
      <c r="AE483"/>
      <c r="AF483" s="8"/>
      <c r="AG483" s="8"/>
      <c r="AH483" s="8"/>
      <c r="AI483"/>
      <c r="AJ483" s="18"/>
      <c r="AK483"/>
      <c r="AL483"/>
      <c r="AM483"/>
    </row>
    <row r="484" spans="1:39" x14ac:dyDescent="0.2">
      <c r="A484" t="s">
        <v>1934</v>
      </c>
      <c r="B484" t="s">
        <v>1900</v>
      </c>
      <c r="C484" s="20" t="s">
        <v>1931</v>
      </c>
      <c r="D484" s="20" t="s">
        <v>1935</v>
      </c>
      <c r="E484" t="s">
        <v>1936</v>
      </c>
      <c r="H484" s="4"/>
      <c r="I484" s="9"/>
      <c r="J484" s="4"/>
      <c r="K484" s="9"/>
      <c r="L484" s="6" t="s">
        <v>94</v>
      </c>
      <c r="M484" t="s">
        <v>64</v>
      </c>
      <c r="N484" s="6" t="s">
        <v>55</v>
      </c>
      <c r="O484" s="6">
        <v>4</v>
      </c>
      <c r="P484"/>
      <c r="R484" s="7"/>
      <c r="S484">
        <v>8.6655112649999992</v>
      </c>
      <c r="T484" t="s">
        <v>414</v>
      </c>
      <c r="AH484" s="8">
        <v>0.7</v>
      </c>
      <c r="AI484" t="s">
        <v>1937</v>
      </c>
      <c r="AJ484" s="14"/>
      <c r="AK484" s="3"/>
    </row>
    <row r="485" spans="1:39" x14ac:dyDescent="0.2">
      <c r="A485" t="s">
        <v>1938</v>
      </c>
      <c r="B485" t="s">
        <v>1900</v>
      </c>
      <c r="C485" s="20" t="s">
        <v>1931</v>
      </c>
      <c r="D485" s="20" t="s">
        <v>1939</v>
      </c>
      <c r="E485" t="s">
        <v>1940</v>
      </c>
      <c r="H485" s="4"/>
      <c r="I485" s="9"/>
      <c r="J485" s="4"/>
      <c r="K485" s="9"/>
      <c r="L485" s="6" t="s">
        <v>99</v>
      </c>
      <c r="M485" t="s">
        <v>64</v>
      </c>
      <c r="N485" s="6" t="s">
        <v>46</v>
      </c>
      <c r="O485" s="6">
        <v>4</v>
      </c>
      <c r="P485"/>
      <c r="R485" s="7"/>
      <c r="AH485" s="8">
        <v>0.56000000000000005</v>
      </c>
      <c r="AI485" t="s">
        <v>1941</v>
      </c>
      <c r="AJ485" s="14"/>
      <c r="AK485" s="3"/>
      <c r="AM485" s="3"/>
    </row>
    <row r="486" spans="1:39" x14ac:dyDescent="0.2">
      <c r="A486" t="s">
        <v>1942</v>
      </c>
      <c r="B486" t="s">
        <v>1943</v>
      </c>
      <c r="C486" s="20" t="s">
        <v>1944</v>
      </c>
      <c r="D486" s="20" t="s">
        <v>1945</v>
      </c>
      <c r="E486" t="s">
        <v>85</v>
      </c>
      <c r="H486" s="4"/>
      <c r="I486" s="9"/>
      <c r="J486" s="4"/>
      <c r="K486" s="9"/>
      <c r="L486" s="6" t="s">
        <v>81</v>
      </c>
      <c r="M486" t="s">
        <v>54</v>
      </c>
      <c r="N486" s="6" t="s">
        <v>46</v>
      </c>
      <c r="O486" s="6">
        <v>1</v>
      </c>
      <c r="P486"/>
      <c r="Q486" s="6" t="s">
        <v>74</v>
      </c>
      <c r="R486" s="7"/>
      <c r="AH486" s="8"/>
      <c r="AJ486" s="14"/>
      <c r="AK486" s="3"/>
      <c r="AM486" s="3"/>
    </row>
    <row r="487" spans="1:39" x14ac:dyDescent="0.2">
      <c r="A487" t="s">
        <v>1946</v>
      </c>
      <c r="B487" t="s">
        <v>1943</v>
      </c>
      <c r="C487" s="20" t="s">
        <v>1947</v>
      </c>
      <c r="D487" s="20" t="s">
        <v>1424</v>
      </c>
      <c r="E487" t="s">
        <v>59</v>
      </c>
      <c r="H487" s="4"/>
      <c r="I487" s="9" t="s">
        <v>1948</v>
      </c>
      <c r="J487" s="4"/>
      <c r="K487" s="9"/>
      <c r="L487" s="6" t="s">
        <v>94</v>
      </c>
      <c r="M487" t="s">
        <v>64</v>
      </c>
      <c r="N487" s="6" t="s">
        <v>55</v>
      </c>
      <c r="O487" s="6">
        <v>1</v>
      </c>
      <c r="P487"/>
      <c r="R487" s="7">
        <v>481</v>
      </c>
      <c r="AJ487" s="14"/>
      <c r="AK487" s="3"/>
    </row>
    <row r="488" spans="1:39" x14ac:dyDescent="0.2">
      <c r="A488" t="s">
        <v>1949</v>
      </c>
      <c r="B488" t="s">
        <v>1950</v>
      </c>
      <c r="C488" s="20" t="s">
        <v>1951</v>
      </c>
      <c r="D488" s="20" t="s">
        <v>1952</v>
      </c>
      <c r="E488" t="s">
        <v>1953</v>
      </c>
      <c r="H488" s="4"/>
      <c r="I488" s="9"/>
      <c r="J488" s="4"/>
      <c r="K488" s="9"/>
      <c r="L488" s="5" t="s">
        <v>44</v>
      </c>
      <c r="M488" t="s">
        <v>54</v>
      </c>
      <c r="N488" s="6" t="s">
        <v>46</v>
      </c>
      <c r="O488" s="6">
        <v>1</v>
      </c>
      <c r="P488"/>
      <c r="R488" s="7"/>
      <c r="S488" s="8">
        <v>42.857749730965899</v>
      </c>
      <c r="T488" t="s">
        <v>88</v>
      </c>
      <c r="AJ488" s="14"/>
      <c r="AK488" s="3"/>
    </row>
    <row r="489" spans="1:39" x14ac:dyDescent="0.2">
      <c r="A489" t="s">
        <v>1954</v>
      </c>
      <c r="B489" t="s">
        <v>1955</v>
      </c>
      <c r="C489" s="20" t="s">
        <v>1956</v>
      </c>
      <c r="D489" s="20" t="s">
        <v>1957</v>
      </c>
      <c r="E489" t="s">
        <v>1958</v>
      </c>
      <c r="H489" s="4"/>
      <c r="I489" s="9"/>
      <c r="J489" s="4"/>
      <c r="K489" s="9"/>
      <c r="L489" s="5" t="s">
        <v>279</v>
      </c>
      <c r="M489" t="s">
        <v>207</v>
      </c>
      <c r="N489" s="6" t="s">
        <v>65</v>
      </c>
      <c r="O489" s="6">
        <v>1</v>
      </c>
      <c r="P489"/>
      <c r="R489" s="7"/>
    </row>
    <row r="490" spans="1:39" x14ac:dyDescent="0.2">
      <c r="A490" t="s">
        <v>1959</v>
      </c>
      <c r="B490" t="s">
        <v>1955</v>
      </c>
      <c r="C490" s="20" t="s">
        <v>1960</v>
      </c>
      <c r="D490" s="20" t="s">
        <v>1961</v>
      </c>
      <c r="E490" t="s">
        <v>1962</v>
      </c>
      <c r="L490" s="5" t="s">
        <v>44</v>
      </c>
      <c r="M490" t="s">
        <v>207</v>
      </c>
      <c r="N490" s="6" t="s">
        <v>46</v>
      </c>
      <c r="O490" s="6">
        <v>1</v>
      </c>
      <c r="P490"/>
    </row>
    <row r="491" spans="1:39" x14ac:dyDescent="0.2">
      <c r="A491" t="s">
        <v>1963</v>
      </c>
      <c r="B491" t="s">
        <v>1964</v>
      </c>
      <c r="C491" s="20" t="s">
        <v>1965</v>
      </c>
      <c r="D491" s="20" t="s">
        <v>187</v>
      </c>
      <c r="E491" t="s">
        <v>188</v>
      </c>
      <c r="H491" s="4"/>
      <c r="I491" s="9"/>
      <c r="J491" s="4"/>
      <c r="K491" s="9"/>
      <c r="L491" s="5" t="s">
        <v>44</v>
      </c>
      <c r="M491" t="s">
        <v>54</v>
      </c>
      <c r="N491" s="6" t="s">
        <v>46</v>
      </c>
      <c r="O491" s="6">
        <v>1</v>
      </c>
      <c r="P491"/>
      <c r="R491" s="7"/>
    </row>
    <row r="492" spans="1:39" x14ac:dyDescent="0.2">
      <c r="A492" t="s">
        <v>1966</v>
      </c>
      <c r="B492" s="9" t="s">
        <v>1967</v>
      </c>
      <c r="C492" s="66" t="s">
        <v>1968</v>
      </c>
      <c r="D492" s="20" t="s">
        <v>1969</v>
      </c>
      <c r="E492" t="s">
        <v>85</v>
      </c>
      <c r="H492" s="4"/>
      <c r="I492" s="9" t="s">
        <v>1970</v>
      </c>
      <c r="J492" s="4"/>
      <c r="K492" s="9"/>
      <c r="L492" s="6" t="s">
        <v>94</v>
      </c>
      <c r="M492" t="s">
        <v>64</v>
      </c>
      <c r="N492" s="6" t="s">
        <v>46</v>
      </c>
      <c r="O492" s="6">
        <v>1</v>
      </c>
      <c r="P492" s="7">
        <v>189</v>
      </c>
      <c r="Q492" s="7" t="s">
        <v>74</v>
      </c>
      <c r="R492" s="7"/>
      <c r="S492" s="8"/>
      <c r="T492" s="3"/>
      <c r="U492" s="3"/>
      <c r="V492" s="3"/>
      <c r="W492" s="3"/>
      <c r="X492" s="8"/>
      <c r="Y492" s="3"/>
      <c r="Z492" s="14"/>
      <c r="AA492" s="3"/>
      <c r="AB492" s="3"/>
      <c r="AC492" s="3"/>
      <c r="AD492" s="14"/>
      <c r="AE492" s="3"/>
      <c r="AF492" s="14"/>
      <c r="AG492" s="14"/>
      <c r="AH492" s="8"/>
      <c r="AI492" s="3"/>
    </row>
    <row r="493" spans="1:39" x14ac:dyDescent="0.2">
      <c r="A493" t="s">
        <v>1971</v>
      </c>
      <c r="B493" t="s">
        <v>1972</v>
      </c>
      <c r="C493" s="66" t="s">
        <v>1973</v>
      </c>
      <c r="D493" s="20" t="s">
        <v>1974</v>
      </c>
      <c r="E493" t="s">
        <v>212</v>
      </c>
      <c r="H493" s="4"/>
      <c r="I493" s="9"/>
      <c r="J493" s="4"/>
      <c r="K493" s="9" t="s">
        <v>73</v>
      </c>
      <c r="L493" s="5" t="s">
        <v>117</v>
      </c>
      <c r="M493" t="s">
        <v>64</v>
      </c>
      <c r="N493" s="6" t="s">
        <v>65</v>
      </c>
      <c r="O493" s="6">
        <v>2</v>
      </c>
      <c r="P493" s="7"/>
      <c r="Q493" s="7" t="s">
        <v>74</v>
      </c>
      <c r="R493" s="7"/>
      <c r="S493" s="8"/>
      <c r="T493" s="3"/>
      <c r="U493" s="3"/>
      <c r="V493" s="3"/>
      <c r="W493" s="3"/>
      <c r="X493" s="8"/>
      <c r="Y493" s="3"/>
      <c r="Z493" s="14"/>
      <c r="AA493" s="3"/>
      <c r="AB493" s="3"/>
      <c r="AC493" s="3"/>
      <c r="AD493" s="14"/>
      <c r="AE493" s="3"/>
      <c r="AF493" s="14"/>
      <c r="AG493" s="14"/>
      <c r="AH493" s="8"/>
      <c r="AI493" s="3"/>
    </row>
    <row r="494" spans="1:39" x14ac:dyDescent="0.2">
      <c r="A494" t="s">
        <v>1975</v>
      </c>
      <c r="B494" t="s">
        <v>1972</v>
      </c>
      <c r="C494" s="20" t="s">
        <v>1973</v>
      </c>
      <c r="D494" s="20" t="s">
        <v>1976</v>
      </c>
      <c r="E494" t="s">
        <v>1977</v>
      </c>
      <c r="H494" s="4"/>
      <c r="I494" s="9"/>
      <c r="J494" s="4"/>
      <c r="K494" s="9"/>
      <c r="L494" s="5" t="s">
        <v>63</v>
      </c>
      <c r="M494" t="s">
        <v>64</v>
      </c>
      <c r="N494" s="6" t="s">
        <v>46</v>
      </c>
      <c r="O494" s="6">
        <v>1</v>
      </c>
      <c r="P494" s="6">
        <v>160</v>
      </c>
      <c r="Q494" s="6" t="s">
        <v>74</v>
      </c>
      <c r="R494" s="7"/>
    </row>
    <row r="495" spans="1:39" x14ac:dyDescent="0.2">
      <c r="A495" t="s">
        <v>1978</v>
      </c>
      <c r="B495" t="s">
        <v>1972</v>
      </c>
      <c r="C495" s="20" t="s">
        <v>1973</v>
      </c>
      <c r="D495" s="20" t="s">
        <v>1162</v>
      </c>
      <c r="E495" t="s">
        <v>1979</v>
      </c>
      <c r="L495" s="5" t="s">
        <v>63</v>
      </c>
      <c r="M495" t="s">
        <v>64</v>
      </c>
      <c r="N495" s="6" t="s">
        <v>55</v>
      </c>
      <c r="O495" s="6">
        <v>1</v>
      </c>
      <c r="P495"/>
      <c r="Q495" s="6" t="s">
        <v>74</v>
      </c>
      <c r="Z495" s="17">
        <v>16</v>
      </c>
      <c r="AA495">
        <v>1</v>
      </c>
      <c r="AF495" s="8">
        <v>6.4</v>
      </c>
      <c r="AG495" s="8">
        <v>3.3</v>
      </c>
    </row>
    <row r="496" spans="1:39" x14ac:dyDescent="0.2">
      <c r="A496" t="s">
        <v>1980</v>
      </c>
      <c r="B496" t="s">
        <v>1972</v>
      </c>
      <c r="C496" s="20" t="s">
        <v>1973</v>
      </c>
      <c r="D496" s="20" t="s">
        <v>572</v>
      </c>
      <c r="E496" t="s">
        <v>1981</v>
      </c>
      <c r="K496" t="s">
        <v>73</v>
      </c>
      <c r="L496" s="5" t="s">
        <v>63</v>
      </c>
      <c r="M496" t="s">
        <v>64</v>
      </c>
      <c r="N496" s="6" t="s">
        <v>46</v>
      </c>
      <c r="O496" s="6">
        <v>2</v>
      </c>
      <c r="P496"/>
      <c r="Q496" s="6" t="s">
        <v>74</v>
      </c>
      <c r="Z496" s="17"/>
      <c r="AF496" s="8"/>
      <c r="AG496" s="8"/>
    </row>
    <row r="497" spans="1:38" x14ac:dyDescent="0.2">
      <c r="A497" t="s">
        <v>1982</v>
      </c>
      <c r="B497" t="s">
        <v>1972</v>
      </c>
      <c r="C497" s="20" t="s">
        <v>1973</v>
      </c>
      <c r="D497" s="20" t="s">
        <v>164</v>
      </c>
      <c r="E497" t="s">
        <v>948</v>
      </c>
      <c r="H497" s="4"/>
      <c r="I497" s="9"/>
      <c r="J497" s="4"/>
      <c r="K497" s="9" t="s">
        <v>303</v>
      </c>
      <c r="L497" s="5" t="s">
        <v>63</v>
      </c>
      <c r="M497" t="s">
        <v>64</v>
      </c>
      <c r="N497" s="6" t="s">
        <v>65</v>
      </c>
      <c r="O497" s="6">
        <v>2</v>
      </c>
      <c r="R497" s="7"/>
    </row>
    <row r="498" spans="1:38" x14ac:dyDescent="0.2">
      <c r="A498" t="s">
        <v>1983</v>
      </c>
      <c r="B498" t="s">
        <v>1972</v>
      </c>
      <c r="C498" s="20" t="s">
        <v>1973</v>
      </c>
      <c r="D498" s="20" t="s">
        <v>364</v>
      </c>
      <c r="E498" t="s">
        <v>188</v>
      </c>
      <c r="I498" s="3"/>
      <c r="J498" s="3"/>
      <c r="L498" s="5" t="s">
        <v>63</v>
      </c>
      <c r="M498" t="s">
        <v>64</v>
      </c>
      <c r="N498" s="6" t="s">
        <v>55</v>
      </c>
      <c r="O498" s="6" t="s">
        <v>208</v>
      </c>
      <c r="R498" s="3"/>
    </row>
    <row r="499" spans="1:38" x14ac:dyDescent="0.2">
      <c r="A499" t="s">
        <v>1984</v>
      </c>
      <c r="B499" t="s">
        <v>1985</v>
      </c>
      <c r="C499" s="20" t="s">
        <v>1986</v>
      </c>
      <c r="D499" s="20" t="s">
        <v>1436</v>
      </c>
      <c r="E499" t="s">
        <v>1987</v>
      </c>
      <c r="H499" s="9" t="s">
        <v>2791</v>
      </c>
      <c r="I499" s="9"/>
      <c r="J499" s="9"/>
      <c r="K499" s="9" t="s">
        <v>1988</v>
      </c>
      <c r="L499" s="6" t="s">
        <v>99</v>
      </c>
      <c r="M499" t="s">
        <v>64</v>
      </c>
      <c r="N499" s="6" t="s">
        <v>65</v>
      </c>
      <c r="O499" s="6">
        <v>1</v>
      </c>
      <c r="P499" s="7">
        <v>156</v>
      </c>
      <c r="Q499" s="7"/>
      <c r="R499" s="7"/>
      <c r="S499" s="8">
        <v>9.3821969999999997</v>
      </c>
      <c r="T499" t="s">
        <v>1063</v>
      </c>
      <c r="AH499" s="8">
        <v>0.47341588800000001</v>
      </c>
      <c r="AI499" t="s">
        <v>66</v>
      </c>
    </row>
    <row r="500" spans="1:38" x14ac:dyDescent="0.2">
      <c r="A500" t="s">
        <v>1989</v>
      </c>
      <c r="B500" t="s">
        <v>1985</v>
      </c>
      <c r="C500" s="20" t="s">
        <v>1990</v>
      </c>
      <c r="D500" s="20" t="s">
        <v>1991</v>
      </c>
      <c r="E500" t="s">
        <v>85</v>
      </c>
      <c r="H500" s="4"/>
      <c r="I500" s="9"/>
      <c r="J500" s="9"/>
      <c r="K500" s="9" t="s">
        <v>1992</v>
      </c>
      <c r="L500" s="5" t="s">
        <v>44</v>
      </c>
      <c r="M500" t="s">
        <v>45</v>
      </c>
      <c r="N500" s="6" t="s">
        <v>46</v>
      </c>
      <c r="O500" s="6">
        <v>1</v>
      </c>
      <c r="R500" s="7"/>
    </row>
    <row r="501" spans="1:38" x14ac:dyDescent="0.2">
      <c r="A501" t="s">
        <v>1993</v>
      </c>
      <c r="B501" s="9" t="s">
        <v>1994</v>
      </c>
      <c r="C501" s="66" t="s">
        <v>1995</v>
      </c>
      <c r="D501" s="20" t="s">
        <v>1996</v>
      </c>
      <c r="E501" t="s">
        <v>1997</v>
      </c>
      <c r="H501" s="4"/>
      <c r="I501" s="9"/>
      <c r="J501" s="9"/>
      <c r="K501" s="9"/>
      <c r="L501" s="5" t="s">
        <v>44</v>
      </c>
      <c r="M501" t="s">
        <v>64</v>
      </c>
      <c r="N501" s="6" t="s">
        <v>46</v>
      </c>
      <c r="O501" s="6">
        <v>1</v>
      </c>
      <c r="P501" s="7">
        <v>45</v>
      </c>
      <c r="Q501" s="7" t="s">
        <v>74</v>
      </c>
      <c r="R501" s="7"/>
      <c r="Z501" s="17">
        <v>0.76500000000000001</v>
      </c>
      <c r="AA501">
        <v>20</v>
      </c>
      <c r="AF501" s="8">
        <v>2.21</v>
      </c>
      <c r="AG501" s="8">
        <v>1.82</v>
      </c>
    </row>
    <row r="502" spans="1:38" x14ac:dyDescent="0.2">
      <c r="A502" t="s">
        <v>1998</v>
      </c>
      <c r="B502" t="s">
        <v>1999</v>
      </c>
      <c r="C502" s="20" t="s">
        <v>2000</v>
      </c>
      <c r="D502" s="20" t="s">
        <v>2001</v>
      </c>
      <c r="E502" t="s">
        <v>690</v>
      </c>
      <c r="H502" s="9"/>
      <c r="I502" s="13"/>
      <c r="J502" s="9"/>
      <c r="K502" s="9" t="s">
        <v>73</v>
      </c>
      <c r="L502" s="6" t="s">
        <v>94</v>
      </c>
      <c r="M502" t="s">
        <v>64</v>
      </c>
      <c r="N502" s="6" t="s">
        <v>55</v>
      </c>
      <c r="O502" s="6">
        <v>3</v>
      </c>
      <c r="R502" s="7"/>
    </row>
    <row r="503" spans="1:38" x14ac:dyDescent="0.2">
      <c r="A503" t="s">
        <v>2002</v>
      </c>
      <c r="B503" t="s">
        <v>1999</v>
      </c>
      <c r="C503" s="20" t="s">
        <v>2000</v>
      </c>
      <c r="D503" s="20" t="s">
        <v>2003</v>
      </c>
      <c r="E503" t="s">
        <v>1807</v>
      </c>
      <c r="L503" s="6" t="s">
        <v>94</v>
      </c>
      <c r="M503" t="s">
        <v>64</v>
      </c>
      <c r="N503" s="6" t="s">
        <v>65</v>
      </c>
      <c r="O503" s="6">
        <v>3</v>
      </c>
      <c r="P503"/>
    </row>
    <row r="504" spans="1:38" x14ac:dyDescent="0.2">
      <c r="A504" s="48" t="s">
        <v>2794</v>
      </c>
      <c r="B504" s="48" t="s">
        <v>2005</v>
      </c>
      <c r="C504" s="67" t="s">
        <v>2006</v>
      </c>
      <c r="D504" s="67" t="s">
        <v>2793</v>
      </c>
      <c r="E504" s="48" t="s">
        <v>2792</v>
      </c>
      <c r="F504" s="48"/>
      <c r="G504" s="48"/>
      <c r="H504" s="81" t="s">
        <v>2004</v>
      </c>
      <c r="I504" s="85"/>
      <c r="J504" s="81"/>
      <c r="K504" s="81" t="s">
        <v>303</v>
      </c>
      <c r="L504" s="65" t="s">
        <v>63</v>
      </c>
      <c r="M504" s="48" t="s">
        <v>64</v>
      </c>
      <c r="N504" s="64" t="s">
        <v>65</v>
      </c>
      <c r="O504" s="64">
        <v>1</v>
      </c>
      <c r="R504" s="7"/>
    </row>
    <row r="505" spans="1:38" x14ac:dyDescent="0.2">
      <c r="A505" t="s">
        <v>2007</v>
      </c>
      <c r="B505" t="s">
        <v>2005</v>
      </c>
      <c r="C505" s="20" t="s">
        <v>2008</v>
      </c>
      <c r="D505" s="20" t="s">
        <v>2009</v>
      </c>
      <c r="E505" t="s">
        <v>85</v>
      </c>
      <c r="H505" s="4"/>
      <c r="I505" s="9"/>
      <c r="J505" s="9"/>
      <c r="K505" s="9"/>
      <c r="L505" s="5" t="s">
        <v>81</v>
      </c>
      <c r="M505" t="s">
        <v>64</v>
      </c>
      <c r="N505" s="6" t="s">
        <v>46</v>
      </c>
      <c r="O505" s="6">
        <v>1</v>
      </c>
      <c r="R505" s="7"/>
      <c r="S505" s="8">
        <v>25.645654285714301</v>
      </c>
      <c r="T505" t="s">
        <v>88</v>
      </c>
      <c r="U505" s="18">
        <v>20.502897074742499</v>
      </c>
      <c r="V505" s="18">
        <v>49.9746331835386</v>
      </c>
      <c r="W505" s="18">
        <v>10</v>
      </c>
      <c r="AC505" t="s">
        <v>47</v>
      </c>
    </row>
    <row r="506" spans="1:38" x14ac:dyDescent="0.2">
      <c r="A506" t="s">
        <v>2010</v>
      </c>
      <c r="B506" t="s">
        <v>2005</v>
      </c>
      <c r="C506" s="20" t="s">
        <v>2008</v>
      </c>
      <c r="D506" s="20" t="s">
        <v>2011</v>
      </c>
      <c r="E506" t="s">
        <v>2012</v>
      </c>
      <c r="H506" s="4"/>
      <c r="I506" s="9"/>
      <c r="J506" s="9"/>
      <c r="K506" s="9"/>
      <c r="L506" s="5" t="s">
        <v>81</v>
      </c>
      <c r="M506" t="s">
        <v>64</v>
      </c>
      <c r="N506" s="6" t="s">
        <v>55</v>
      </c>
      <c r="O506" s="6">
        <v>1</v>
      </c>
      <c r="R506" s="7"/>
      <c r="S506">
        <v>19.723556080000002</v>
      </c>
      <c r="T506" t="s">
        <v>66</v>
      </c>
      <c r="AH506" s="8">
        <v>0.44049088600000003</v>
      </c>
      <c r="AI506" t="s">
        <v>66</v>
      </c>
    </row>
    <row r="507" spans="1:38" x14ac:dyDescent="0.2">
      <c r="A507" t="s">
        <v>2013</v>
      </c>
      <c r="B507" s="9" t="s">
        <v>2005</v>
      </c>
      <c r="C507" s="66" t="s">
        <v>2008</v>
      </c>
      <c r="D507" s="20" t="s">
        <v>2014</v>
      </c>
      <c r="E507" t="s">
        <v>2015</v>
      </c>
      <c r="H507" s="4"/>
      <c r="I507" s="9" t="s">
        <v>2016</v>
      </c>
      <c r="J507" s="9"/>
      <c r="K507" s="9"/>
      <c r="L507" s="5" t="s">
        <v>81</v>
      </c>
      <c r="M507" t="s">
        <v>64</v>
      </c>
      <c r="N507" s="6" t="s">
        <v>65</v>
      </c>
      <c r="O507" s="6">
        <v>1</v>
      </c>
      <c r="P507" s="7">
        <v>196</v>
      </c>
      <c r="Q507" s="7"/>
      <c r="R507" s="7"/>
      <c r="S507" s="8"/>
      <c r="T507" s="3"/>
      <c r="U507" s="3"/>
      <c r="V507" s="3"/>
      <c r="W507" s="3"/>
      <c r="X507" s="8"/>
      <c r="Y507" s="3"/>
      <c r="Z507" s="14"/>
      <c r="AA507" s="3"/>
      <c r="AB507" s="3"/>
      <c r="AC507" s="3"/>
      <c r="AD507" s="14"/>
      <c r="AE507" s="3"/>
      <c r="AF507" s="14"/>
      <c r="AG507" s="14"/>
      <c r="AH507" s="8"/>
      <c r="AI507" s="3"/>
      <c r="AL507" s="3"/>
    </row>
    <row r="508" spans="1:38" x14ac:dyDescent="0.2">
      <c r="A508" t="s">
        <v>2017</v>
      </c>
      <c r="B508" t="s">
        <v>2005</v>
      </c>
      <c r="C508" s="20" t="s">
        <v>2008</v>
      </c>
      <c r="D508" s="20" t="s">
        <v>2018</v>
      </c>
      <c r="E508" t="s">
        <v>134</v>
      </c>
      <c r="H508" s="4"/>
      <c r="I508" s="4"/>
      <c r="J508" s="9"/>
      <c r="K508" s="9" t="s">
        <v>2019</v>
      </c>
      <c r="L508" s="5" t="s">
        <v>81</v>
      </c>
      <c r="M508" t="s">
        <v>64</v>
      </c>
      <c r="N508" s="6" t="s">
        <v>55</v>
      </c>
      <c r="O508" s="6">
        <v>1</v>
      </c>
      <c r="Q508" s="6" t="s">
        <v>74</v>
      </c>
      <c r="R508" s="7"/>
      <c r="S508">
        <v>26.7727301</v>
      </c>
      <c r="T508" t="s">
        <v>66</v>
      </c>
      <c r="AL508" s="3"/>
    </row>
    <row r="509" spans="1:38" x14ac:dyDescent="0.2">
      <c r="A509" t="s">
        <v>2020</v>
      </c>
      <c r="B509" t="s">
        <v>2005</v>
      </c>
      <c r="C509" s="20" t="s">
        <v>2008</v>
      </c>
      <c r="D509" s="20" t="s">
        <v>2021</v>
      </c>
      <c r="E509" t="s">
        <v>1757</v>
      </c>
      <c r="H509" s="4"/>
      <c r="I509" s="4"/>
      <c r="J509" s="9"/>
      <c r="K509" s="9" t="s">
        <v>2022</v>
      </c>
      <c r="L509" s="5" t="s">
        <v>81</v>
      </c>
      <c r="M509" t="s">
        <v>64</v>
      </c>
      <c r="N509" s="6" t="s">
        <v>65</v>
      </c>
      <c r="O509" s="6">
        <v>1</v>
      </c>
      <c r="R509" s="7"/>
    </row>
    <row r="510" spans="1:38" x14ac:dyDescent="0.2">
      <c r="A510" t="s">
        <v>2023</v>
      </c>
      <c r="B510" t="s">
        <v>2005</v>
      </c>
      <c r="C510" s="20" t="s">
        <v>2008</v>
      </c>
      <c r="D510" s="20" t="s">
        <v>2024</v>
      </c>
      <c r="E510" t="s">
        <v>2025</v>
      </c>
      <c r="H510" s="4"/>
      <c r="I510" s="4"/>
      <c r="J510" s="9"/>
      <c r="K510" s="9"/>
      <c r="L510" s="5" t="s">
        <v>81</v>
      </c>
      <c r="M510" t="s">
        <v>64</v>
      </c>
      <c r="N510" s="6" t="s">
        <v>65</v>
      </c>
      <c r="O510" s="6">
        <v>1</v>
      </c>
      <c r="R510" s="7"/>
    </row>
    <row r="511" spans="1:38" ht="16" x14ac:dyDescent="0.2">
      <c r="A511" t="s">
        <v>2026</v>
      </c>
      <c r="B511" t="s">
        <v>2005</v>
      </c>
      <c r="C511" s="68" t="s">
        <v>2008</v>
      </c>
      <c r="D511" s="20" t="s">
        <v>2027</v>
      </c>
      <c r="E511" t="s">
        <v>1757</v>
      </c>
      <c r="H511" s="4"/>
      <c r="I511" s="4"/>
      <c r="J511" s="9"/>
      <c r="K511" s="9" t="s">
        <v>2028</v>
      </c>
      <c r="L511" s="5" t="s">
        <v>81</v>
      </c>
      <c r="M511" t="s">
        <v>64</v>
      </c>
      <c r="N511" s="6" t="s">
        <v>46</v>
      </c>
      <c r="O511" s="6">
        <v>1</v>
      </c>
      <c r="R511" s="7"/>
      <c r="AL511" s="3"/>
    </row>
    <row r="512" spans="1:38" x14ac:dyDescent="0.2">
      <c r="A512" s="3" t="s">
        <v>2029</v>
      </c>
      <c r="B512" t="s">
        <v>2005</v>
      </c>
      <c r="C512" s="20" t="s">
        <v>2008</v>
      </c>
      <c r="D512" s="20" t="s">
        <v>2030</v>
      </c>
      <c r="E512" t="s">
        <v>134</v>
      </c>
      <c r="H512" s="4"/>
      <c r="I512" s="4"/>
      <c r="J512" s="9"/>
      <c r="K512" s="9" t="s">
        <v>928</v>
      </c>
      <c r="L512" s="5" t="s">
        <v>81</v>
      </c>
      <c r="M512" t="s">
        <v>64</v>
      </c>
      <c r="N512" s="6" t="s">
        <v>55</v>
      </c>
      <c r="O512" s="6">
        <v>1</v>
      </c>
      <c r="Q512" s="6" t="s">
        <v>74</v>
      </c>
      <c r="R512" s="7"/>
      <c r="S512" s="8"/>
      <c r="T512" s="3"/>
      <c r="U512" s="3"/>
      <c r="V512" s="3"/>
      <c r="W512" s="3"/>
      <c r="X512" s="8"/>
      <c r="Y512" s="3"/>
      <c r="Z512" s="17">
        <v>1.1200000000000001</v>
      </c>
      <c r="AA512" s="3">
        <v>40</v>
      </c>
      <c r="AB512" s="3"/>
      <c r="AC512" s="3"/>
      <c r="AD512" s="8"/>
      <c r="AE512" s="3"/>
      <c r="AF512" s="8">
        <v>1.73</v>
      </c>
      <c r="AG512" s="8">
        <v>1.6</v>
      </c>
      <c r="AH512" s="8"/>
      <c r="AI512" s="3"/>
      <c r="AJ512" s="8"/>
      <c r="AK512" s="3"/>
    </row>
    <row r="513" spans="1:38" x14ac:dyDescent="0.2">
      <c r="A513" s="25" t="s">
        <v>2031</v>
      </c>
      <c r="B513" t="s">
        <v>2005</v>
      </c>
      <c r="C513" s="20" t="s">
        <v>2008</v>
      </c>
      <c r="D513" s="20" t="s">
        <v>2032</v>
      </c>
      <c r="E513" t="s">
        <v>2033</v>
      </c>
      <c r="H513" s="4"/>
      <c r="I513" s="4"/>
      <c r="J513" s="9"/>
      <c r="K513" s="9"/>
      <c r="L513" s="5" t="s">
        <v>81</v>
      </c>
      <c r="M513" t="s">
        <v>64</v>
      </c>
      <c r="N513" s="6" t="s">
        <v>46</v>
      </c>
      <c r="O513" s="6">
        <v>1</v>
      </c>
      <c r="R513" s="7"/>
      <c r="S513" s="8"/>
      <c r="T513" s="3"/>
      <c r="U513" s="3"/>
      <c r="V513" s="3"/>
      <c r="W513" s="3"/>
      <c r="X513" s="8"/>
      <c r="Y513" s="3"/>
      <c r="Z513" s="17"/>
      <c r="AA513" s="3"/>
      <c r="AB513" s="3"/>
      <c r="AC513" s="3"/>
      <c r="AD513" s="8"/>
      <c r="AE513" s="3"/>
      <c r="AF513" s="8"/>
      <c r="AG513" s="8"/>
      <c r="AH513" s="8"/>
      <c r="AI513" s="3"/>
      <c r="AJ513" s="8"/>
      <c r="AK513" s="3"/>
    </row>
    <row r="514" spans="1:38" x14ac:dyDescent="0.2">
      <c r="A514" t="s">
        <v>2034</v>
      </c>
      <c r="B514" t="s">
        <v>2005</v>
      </c>
      <c r="C514" s="20" t="s">
        <v>2008</v>
      </c>
      <c r="D514" s="20" t="s">
        <v>2035</v>
      </c>
      <c r="E514" t="s">
        <v>1757</v>
      </c>
      <c r="H514" s="4"/>
      <c r="I514" s="9" t="s">
        <v>2036</v>
      </c>
      <c r="J514" s="9"/>
      <c r="K514" s="9" t="s">
        <v>2037</v>
      </c>
      <c r="L514" s="5" t="s">
        <v>81</v>
      </c>
      <c r="M514" t="s">
        <v>64</v>
      </c>
      <c r="N514" s="6" t="s">
        <v>46</v>
      </c>
      <c r="O514" s="6">
        <v>1</v>
      </c>
      <c r="P514" s="6">
        <v>7</v>
      </c>
      <c r="Q514" s="6" t="s">
        <v>74</v>
      </c>
      <c r="R514" s="7"/>
      <c r="S514" s="8">
        <v>20.25205261875</v>
      </c>
      <c r="T514" t="s">
        <v>88</v>
      </c>
      <c r="U514" s="18">
        <v>24.076911868678199</v>
      </c>
      <c r="V514" s="18">
        <v>46.917734119911799</v>
      </c>
      <c r="W514" s="18">
        <v>10</v>
      </c>
      <c r="Z514" s="17">
        <v>0.11</v>
      </c>
      <c r="AA514">
        <v>60</v>
      </c>
      <c r="AD514" s="17">
        <v>5.3</v>
      </c>
      <c r="AE514">
        <v>17</v>
      </c>
      <c r="AF514" s="8">
        <v>0.5</v>
      </c>
      <c r="AG514" s="8">
        <v>0.5</v>
      </c>
    </row>
    <row r="515" spans="1:38" x14ac:dyDescent="0.2">
      <c r="A515" t="s">
        <v>2038</v>
      </c>
      <c r="B515" t="s">
        <v>2005</v>
      </c>
      <c r="C515" s="20" t="s">
        <v>2008</v>
      </c>
      <c r="D515" s="20" t="s">
        <v>2039</v>
      </c>
      <c r="E515" t="s">
        <v>690</v>
      </c>
      <c r="H515" s="4"/>
      <c r="I515" s="9"/>
      <c r="J515" s="9"/>
      <c r="K515" s="4"/>
      <c r="L515" s="5" t="s">
        <v>81</v>
      </c>
      <c r="M515" t="s">
        <v>64</v>
      </c>
      <c r="N515" s="6" t="s">
        <v>46</v>
      </c>
      <c r="O515" s="6">
        <v>1</v>
      </c>
      <c r="Q515" s="6" t="s">
        <v>74</v>
      </c>
      <c r="R515" s="7" t="s">
        <v>2040</v>
      </c>
      <c r="S515" s="8">
        <v>16.857341000000002</v>
      </c>
      <c r="T515" t="s">
        <v>95</v>
      </c>
      <c r="W515" s="3"/>
      <c r="X515" s="8">
        <v>0.1</v>
      </c>
      <c r="Y515" t="s">
        <v>837</v>
      </c>
      <c r="AD515" s="17">
        <v>0.25</v>
      </c>
      <c r="AE515" s="18">
        <v>20</v>
      </c>
      <c r="AF515" s="17">
        <v>0.97</v>
      </c>
      <c r="AG515" s="17">
        <v>0.79</v>
      </c>
    </row>
    <row r="516" spans="1:38" ht="18" customHeight="1" x14ac:dyDescent="0.2">
      <c r="A516" t="s">
        <v>2041</v>
      </c>
      <c r="B516" t="s">
        <v>2005</v>
      </c>
      <c r="C516" s="74" t="s">
        <v>2008</v>
      </c>
      <c r="D516" s="20" t="s">
        <v>2042</v>
      </c>
      <c r="E516" t="s">
        <v>2043</v>
      </c>
      <c r="H516" s="4"/>
      <c r="I516" s="9" t="s">
        <v>2044</v>
      </c>
      <c r="J516" s="9"/>
      <c r="K516" s="9" t="s">
        <v>62</v>
      </c>
      <c r="L516" s="5" t="s">
        <v>81</v>
      </c>
      <c r="M516" t="s">
        <v>64</v>
      </c>
      <c r="N516" s="6" t="s">
        <v>55</v>
      </c>
      <c r="O516" s="6">
        <v>1</v>
      </c>
      <c r="P516" s="6">
        <v>198</v>
      </c>
      <c r="R516" s="7"/>
      <c r="S516">
        <v>23.717242970000001</v>
      </c>
      <c r="T516" t="s">
        <v>66</v>
      </c>
      <c r="AH516" s="8">
        <v>0.37945026300000001</v>
      </c>
      <c r="AI516" t="s">
        <v>66</v>
      </c>
    </row>
    <row r="517" spans="1:38" ht="15.75" customHeight="1" x14ac:dyDescent="0.2">
      <c r="A517" t="s">
        <v>2045</v>
      </c>
      <c r="B517" t="s">
        <v>2005</v>
      </c>
      <c r="C517" s="66" t="s">
        <v>2008</v>
      </c>
      <c r="D517" s="20" t="s">
        <v>2046</v>
      </c>
      <c r="E517" t="s">
        <v>1757</v>
      </c>
      <c r="H517" s="4"/>
      <c r="I517" s="9" t="s">
        <v>2047</v>
      </c>
      <c r="J517" s="9"/>
      <c r="K517" s="4"/>
      <c r="L517" s="5" t="s">
        <v>81</v>
      </c>
      <c r="M517" t="s">
        <v>64</v>
      </c>
      <c r="N517" s="6" t="s">
        <v>65</v>
      </c>
      <c r="O517" s="6">
        <v>1</v>
      </c>
      <c r="P517" s="7">
        <v>197</v>
      </c>
      <c r="Q517" s="7"/>
      <c r="R517" s="7"/>
      <c r="S517">
        <v>27.35050523</v>
      </c>
      <c r="T517" t="s">
        <v>2048</v>
      </c>
      <c r="U517" s="3"/>
      <c r="W517" s="3"/>
      <c r="X517" s="8"/>
      <c r="Y517" s="3"/>
      <c r="Z517" s="14"/>
      <c r="AA517" s="3"/>
      <c r="AB517" s="3"/>
      <c r="AC517" s="3"/>
      <c r="AD517" s="14"/>
      <c r="AE517" s="3"/>
      <c r="AF517" s="14"/>
      <c r="AG517" s="14"/>
      <c r="AH517" s="8"/>
      <c r="AI517" s="3"/>
    </row>
    <row r="518" spans="1:38" ht="15.75" customHeight="1" x14ac:dyDescent="0.2">
      <c r="A518" t="s">
        <v>2049</v>
      </c>
      <c r="B518" t="s">
        <v>2005</v>
      </c>
      <c r="C518" s="20" t="s">
        <v>2008</v>
      </c>
      <c r="D518" s="20" t="s">
        <v>2050</v>
      </c>
      <c r="E518" t="s">
        <v>2051</v>
      </c>
      <c r="L518" s="5" t="s">
        <v>81</v>
      </c>
      <c r="M518" t="s">
        <v>64</v>
      </c>
      <c r="N518" s="6" t="s">
        <v>65</v>
      </c>
      <c r="O518" s="6">
        <v>1</v>
      </c>
      <c r="P518"/>
    </row>
    <row r="519" spans="1:38" x14ac:dyDescent="0.2">
      <c r="A519" t="s">
        <v>2052</v>
      </c>
      <c r="B519" t="s">
        <v>2005</v>
      </c>
      <c r="C519" s="20" t="s">
        <v>2008</v>
      </c>
      <c r="D519" s="20" t="s">
        <v>531</v>
      </c>
      <c r="E519" t="s">
        <v>1757</v>
      </c>
      <c r="H519" s="4"/>
      <c r="I519" s="9"/>
      <c r="J519" s="9"/>
      <c r="K519" s="4"/>
      <c r="L519" s="5" t="s">
        <v>81</v>
      </c>
      <c r="M519" t="s">
        <v>64</v>
      </c>
      <c r="N519" s="6" t="s">
        <v>65</v>
      </c>
      <c r="O519" s="6">
        <v>1</v>
      </c>
      <c r="R519" s="7"/>
      <c r="S519" s="8"/>
      <c r="T519" s="3"/>
      <c r="U519" s="3"/>
      <c r="V519" s="3"/>
      <c r="W519" s="3"/>
      <c r="X519" s="8"/>
      <c r="Y519" s="3"/>
      <c r="Z519" s="8"/>
      <c r="AA519" s="3"/>
      <c r="AB519" s="3"/>
      <c r="AC519" s="3"/>
      <c r="AD519" s="8"/>
      <c r="AE519" s="3"/>
      <c r="AF519" s="8"/>
      <c r="AG519" s="8"/>
      <c r="AH519" s="8"/>
      <c r="AI519" s="3"/>
      <c r="AJ519" s="8"/>
      <c r="AK519" s="3"/>
    </row>
    <row r="520" spans="1:38" x14ac:dyDescent="0.2">
      <c r="A520" t="s">
        <v>2053</v>
      </c>
      <c r="B520" t="s">
        <v>2005</v>
      </c>
      <c r="C520" s="20" t="s">
        <v>2008</v>
      </c>
      <c r="D520" s="20" t="s">
        <v>2054</v>
      </c>
      <c r="E520" t="s">
        <v>1757</v>
      </c>
      <c r="H520" s="4"/>
      <c r="I520" s="9" t="s">
        <v>2055</v>
      </c>
      <c r="J520" s="9"/>
      <c r="K520" s="4"/>
      <c r="L520" s="5" t="s">
        <v>81</v>
      </c>
      <c r="M520" t="s">
        <v>64</v>
      </c>
      <c r="N520" s="6" t="s">
        <v>65</v>
      </c>
      <c r="O520" s="6">
        <v>1</v>
      </c>
      <c r="P520" s="6">
        <v>200</v>
      </c>
      <c r="R520" s="7"/>
      <c r="AL520" s="3"/>
    </row>
    <row r="521" spans="1:38" x14ac:dyDescent="0.2">
      <c r="A521" t="s">
        <v>2056</v>
      </c>
      <c r="B521" s="9" t="s">
        <v>2005</v>
      </c>
      <c r="C521" s="66" t="s">
        <v>2008</v>
      </c>
      <c r="D521" s="20" t="s">
        <v>2057</v>
      </c>
      <c r="E521" t="s">
        <v>2058</v>
      </c>
      <c r="H521" s="4"/>
      <c r="I521" s="9" t="s">
        <v>2059</v>
      </c>
      <c r="J521" s="9"/>
      <c r="K521" s="9" t="s">
        <v>62</v>
      </c>
      <c r="L521" s="5" t="s">
        <v>81</v>
      </c>
      <c r="M521" t="s">
        <v>64</v>
      </c>
      <c r="N521" s="6" t="s">
        <v>65</v>
      </c>
      <c r="O521" s="6">
        <v>1</v>
      </c>
      <c r="P521" s="7">
        <v>199</v>
      </c>
      <c r="Q521" s="7"/>
      <c r="R521" s="7"/>
      <c r="S521" s="8"/>
      <c r="T521" s="3"/>
      <c r="U521" s="3"/>
      <c r="V521" s="3"/>
      <c r="W521" s="3"/>
      <c r="X521" s="8"/>
      <c r="Y521" s="3"/>
      <c r="Z521" s="14"/>
      <c r="AA521" s="3"/>
      <c r="AB521" s="3"/>
      <c r="AC521" s="3"/>
      <c r="AD521" s="14"/>
      <c r="AE521" s="3"/>
      <c r="AF521" s="14"/>
      <c r="AG521" s="14"/>
      <c r="AH521" s="8"/>
      <c r="AI521" s="3"/>
    </row>
    <row r="522" spans="1:38" x14ac:dyDescent="0.2">
      <c r="A522" t="s">
        <v>2060</v>
      </c>
      <c r="B522" t="s">
        <v>2005</v>
      </c>
      <c r="C522" s="20" t="s">
        <v>2008</v>
      </c>
      <c r="D522" s="20" t="s">
        <v>187</v>
      </c>
      <c r="E522" t="s">
        <v>2061</v>
      </c>
      <c r="L522" s="5" t="s">
        <v>81</v>
      </c>
      <c r="M522" t="s">
        <v>64</v>
      </c>
      <c r="N522" s="6" t="s">
        <v>46</v>
      </c>
      <c r="O522" s="6">
        <v>1</v>
      </c>
      <c r="P522"/>
      <c r="AL522" s="3"/>
    </row>
    <row r="523" spans="1:38" x14ac:dyDescent="0.2">
      <c r="A523" t="s">
        <v>2013</v>
      </c>
      <c r="B523" s="9" t="s">
        <v>2005</v>
      </c>
      <c r="C523" s="66" t="s">
        <v>2008</v>
      </c>
      <c r="D523" s="20" t="s">
        <v>187</v>
      </c>
      <c r="E523" t="s">
        <v>188</v>
      </c>
      <c r="H523" s="4"/>
      <c r="I523" s="9" t="s">
        <v>2062</v>
      </c>
      <c r="J523" s="9"/>
      <c r="K523" s="9"/>
      <c r="L523" s="5" t="s">
        <v>81</v>
      </c>
      <c r="M523" t="s">
        <v>64</v>
      </c>
      <c r="N523" s="6" t="s">
        <v>55</v>
      </c>
      <c r="O523" s="6">
        <v>1</v>
      </c>
      <c r="P523" s="7">
        <v>115</v>
      </c>
      <c r="Q523" s="7"/>
      <c r="R523" s="7"/>
      <c r="S523" s="8"/>
      <c r="T523" s="3"/>
      <c r="U523" s="3"/>
      <c r="V523" s="3"/>
      <c r="W523" s="3"/>
      <c r="X523" s="8"/>
      <c r="Y523" s="3"/>
      <c r="Z523" s="14"/>
      <c r="AA523" s="3"/>
      <c r="AB523" s="3"/>
      <c r="AC523" s="3"/>
      <c r="AD523" s="14"/>
      <c r="AE523" s="3"/>
      <c r="AF523" s="14"/>
      <c r="AG523" s="14"/>
      <c r="AH523" s="8"/>
      <c r="AI523" s="3"/>
      <c r="AJ523" s="8"/>
      <c r="AK523" s="3"/>
    </row>
    <row r="524" spans="1:38" x14ac:dyDescent="0.2">
      <c r="A524" t="s">
        <v>2063</v>
      </c>
      <c r="B524" t="s">
        <v>2005</v>
      </c>
      <c r="C524" s="20" t="s">
        <v>2008</v>
      </c>
      <c r="D524" s="20" t="s">
        <v>2064</v>
      </c>
      <c r="E524" t="s">
        <v>85</v>
      </c>
      <c r="L524" s="5" t="s">
        <v>81</v>
      </c>
      <c r="M524" t="s">
        <v>64</v>
      </c>
      <c r="N524" s="6" t="s">
        <v>55</v>
      </c>
      <c r="O524" s="6">
        <v>1</v>
      </c>
      <c r="Q524" s="6" t="s">
        <v>74</v>
      </c>
      <c r="S524">
        <v>30.12048193</v>
      </c>
      <c r="T524" t="s">
        <v>414</v>
      </c>
      <c r="X524" s="8"/>
      <c r="Z524" s="8"/>
      <c r="AD524" s="8"/>
      <c r="AF524" s="8"/>
      <c r="AG524" s="8"/>
      <c r="AH524" s="8"/>
      <c r="AJ524" s="8"/>
    </row>
    <row r="525" spans="1:38" x14ac:dyDescent="0.2">
      <c r="A525" t="s">
        <v>2065</v>
      </c>
      <c r="B525" t="s">
        <v>2066</v>
      </c>
      <c r="C525" s="20" t="s">
        <v>2067</v>
      </c>
      <c r="D525" s="20" t="s">
        <v>2068</v>
      </c>
      <c r="E525" t="s">
        <v>2069</v>
      </c>
      <c r="H525" s="4"/>
      <c r="I525" s="9" t="s">
        <v>2070</v>
      </c>
      <c r="J525" s="9"/>
      <c r="K525" s="9" t="s">
        <v>2071</v>
      </c>
      <c r="L525" s="5" t="s">
        <v>958</v>
      </c>
      <c r="M525" t="s">
        <v>54</v>
      </c>
      <c r="N525" s="6" t="s">
        <v>46</v>
      </c>
      <c r="O525" s="6" t="s">
        <v>208</v>
      </c>
      <c r="P525"/>
      <c r="R525" s="7"/>
      <c r="X525" s="8">
        <v>3.2559999999999998</v>
      </c>
      <c r="Y525" t="s">
        <v>429</v>
      </c>
    </row>
    <row r="526" spans="1:38" x14ac:dyDescent="0.2">
      <c r="A526" t="s">
        <v>2072</v>
      </c>
      <c r="B526" t="s">
        <v>2066</v>
      </c>
      <c r="C526" s="20" t="s">
        <v>2073</v>
      </c>
      <c r="D526" s="20" t="s">
        <v>2074</v>
      </c>
      <c r="E526" t="s">
        <v>85</v>
      </c>
      <c r="H526" s="4"/>
      <c r="I526" s="9" t="s">
        <v>2075</v>
      </c>
      <c r="J526" s="9" t="s">
        <v>2076</v>
      </c>
      <c r="K526" s="9"/>
      <c r="L526" s="5" t="s">
        <v>958</v>
      </c>
      <c r="M526" t="s">
        <v>207</v>
      </c>
      <c r="N526" s="6" t="s">
        <v>46</v>
      </c>
      <c r="O526" s="6" t="s">
        <v>208</v>
      </c>
      <c r="P526"/>
      <c r="R526" s="7"/>
      <c r="X526" s="8">
        <v>0.1396</v>
      </c>
      <c r="Y526" t="s">
        <v>429</v>
      </c>
    </row>
    <row r="527" spans="1:38" x14ac:dyDescent="0.2">
      <c r="A527" t="s">
        <v>2077</v>
      </c>
      <c r="B527" t="s">
        <v>2066</v>
      </c>
      <c r="C527" s="20" t="s">
        <v>2078</v>
      </c>
      <c r="D527" s="20" t="s">
        <v>2079</v>
      </c>
      <c r="E527" t="s">
        <v>2080</v>
      </c>
      <c r="H527" s="4"/>
      <c r="I527" s="9" t="s">
        <v>2081</v>
      </c>
      <c r="J527" s="9" t="s">
        <v>2082</v>
      </c>
      <c r="K527" s="9"/>
      <c r="L527" s="5" t="s">
        <v>958</v>
      </c>
      <c r="M527" t="s">
        <v>54</v>
      </c>
      <c r="N527" s="6" t="s">
        <v>46</v>
      </c>
      <c r="O527" s="6" t="s">
        <v>208</v>
      </c>
      <c r="P527"/>
      <c r="R527" s="7"/>
      <c r="AC527" t="s">
        <v>47</v>
      </c>
      <c r="AL527" s="3"/>
    </row>
    <row r="528" spans="1:38" x14ac:dyDescent="0.2">
      <c r="A528" t="s">
        <v>2083</v>
      </c>
      <c r="B528" t="s">
        <v>2066</v>
      </c>
      <c r="C528" s="20" t="s">
        <v>2084</v>
      </c>
      <c r="D528" s="20" t="s">
        <v>2085</v>
      </c>
      <c r="E528" t="s">
        <v>2086</v>
      </c>
      <c r="H528" s="4"/>
      <c r="I528" s="9" t="s">
        <v>2087</v>
      </c>
      <c r="J528" s="9" t="s">
        <v>2088</v>
      </c>
      <c r="K528" s="9" t="s">
        <v>2089</v>
      </c>
      <c r="L528" s="5" t="s">
        <v>958</v>
      </c>
      <c r="M528" t="s">
        <v>54</v>
      </c>
      <c r="N528" s="6" t="s">
        <v>46</v>
      </c>
      <c r="O528" s="6">
        <v>1</v>
      </c>
      <c r="P528"/>
      <c r="R528" s="7">
        <v>461</v>
      </c>
      <c r="S528">
        <f>(23.2+22.21)/2</f>
        <v>22.704999999999998</v>
      </c>
      <c r="T528" t="s">
        <v>471</v>
      </c>
      <c r="X528" s="8">
        <v>9.4799999999999995E-2</v>
      </c>
      <c r="Y528" t="s">
        <v>468</v>
      </c>
    </row>
    <row r="529" spans="1:38" s="3" customFormat="1" x14ac:dyDescent="0.2">
      <c r="A529" t="s">
        <v>2090</v>
      </c>
      <c r="B529" t="s">
        <v>2066</v>
      </c>
      <c r="C529" s="20" t="s">
        <v>2091</v>
      </c>
      <c r="D529" s="20" t="s">
        <v>2092</v>
      </c>
      <c r="E529" t="s">
        <v>2093</v>
      </c>
      <c r="F529"/>
      <c r="G529"/>
      <c r="H529" s="4"/>
      <c r="I529" s="9"/>
      <c r="J529" s="9"/>
      <c r="K529" s="9"/>
      <c r="L529" s="5" t="s">
        <v>958</v>
      </c>
      <c r="M529" t="s">
        <v>54</v>
      </c>
      <c r="N529" s="6" t="s">
        <v>46</v>
      </c>
      <c r="O529" s="6">
        <v>1</v>
      </c>
      <c r="P529"/>
      <c r="Q529" s="6"/>
      <c r="R529" s="7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</row>
    <row r="530" spans="1:38" x14ac:dyDescent="0.2">
      <c r="A530" t="s">
        <v>2094</v>
      </c>
      <c r="B530" t="s">
        <v>2066</v>
      </c>
      <c r="C530" s="20" t="s">
        <v>2095</v>
      </c>
      <c r="D530" s="20" t="s">
        <v>2096</v>
      </c>
      <c r="E530" t="s">
        <v>134</v>
      </c>
      <c r="H530" s="4"/>
      <c r="I530" s="9" t="s">
        <v>2097</v>
      </c>
      <c r="J530" s="9"/>
      <c r="K530" s="9" t="s">
        <v>2098</v>
      </c>
      <c r="L530" s="5" t="s">
        <v>958</v>
      </c>
      <c r="M530" t="s">
        <v>54</v>
      </c>
      <c r="N530" s="6" t="s">
        <v>46</v>
      </c>
      <c r="O530" s="6">
        <v>1</v>
      </c>
      <c r="P530"/>
      <c r="R530" s="7">
        <v>455</v>
      </c>
      <c r="AL530" s="3"/>
    </row>
    <row r="531" spans="1:38" s="3" customFormat="1" x14ac:dyDescent="0.2">
      <c r="A531" t="s">
        <v>2099</v>
      </c>
      <c r="B531" t="s">
        <v>2066</v>
      </c>
      <c r="C531" s="20" t="s">
        <v>2100</v>
      </c>
      <c r="D531" s="20" t="s">
        <v>2101</v>
      </c>
      <c r="E531" t="s">
        <v>2102</v>
      </c>
      <c r="F531"/>
      <c r="G531"/>
      <c r="H531" s="9" t="s">
        <v>2103</v>
      </c>
      <c r="I531" s="9" t="s">
        <v>2104</v>
      </c>
      <c r="J531" s="9"/>
      <c r="K531" s="9"/>
      <c r="L531" s="5" t="s">
        <v>958</v>
      </c>
      <c r="M531" t="s">
        <v>54</v>
      </c>
      <c r="N531" s="6" t="s">
        <v>46</v>
      </c>
      <c r="O531" s="6">
        <v>1</v>
      </c>
      <c r="P531"/>
      <c r="Q531" s="6"/>
      <c r="R531" s="7" t="s">
        <v>2105</v>
      </c>
      <c r="S531"/>
      <c r="T531"/>
      <c r="U531"/>
      <c r="V531"/>
      <c r="W531"/>
      <c r="X531"/>
      <c r="Y531"/>
      <c r="Z531"/>
      <c r="AA531"/>
      <c r="AB531"/>
      <c r="AC531" t="s">
        <v>47</v>
      </c>
      <c r="AD531"/>
      <c r="AE531"/>
      <c r="AF531"/>
      <c r="AG531"/>
      <c r="AH531"/>
      <c r="AI531"/>
      <c r="AJ531"/>
      <c r="AK531"/>
      <c r="AL531"/>
    </row>
    <row r="532" spans="1:38" x14ac:dyDescent="0.2">
      <c r="A532" s="9" t="s">
        <v>2106</v>
      </c>
      <c r="B532" s="9" t="s">
        <v>2066</v>
      </c>
      <c r="C532" s="20" t="s">
        <v>2107</v>
      </c>
      <c r="D532" s="20" t="s">
        <v>2108</v>
      </c>
      <c r="E532" t="s">
        <v>2109</v>
      </c>
      <c r="H532" s="4"/>
      <c r="I532" s="9"/>
      <c r="J532" s="9"/>
      <c r="K532" s="10"/>
      <c r="L532" s="5" t="s">
        <v>958</v>
      </c>
      <c r="M532" t="s">
        <v>207</v>
      </c>
      <c r="N532" s="6" t="s">
        <v>46</v>
      </c>
      <c r="O532" s="6">
        <v>1</v>
      </c>
      <c r="P532"/>
      <c r="R532" s="7"/>
    </row>
    <row r="533" spans="1:38" s="3" customFormat="1" x14ac:dyDescent="0.2">
      <c r="A533" t="s">
        <v>2110</v>
      </c>
      <c r="B533" t="s">
        <v>2066</v>
      </c>
      <c r="C533" s="20" t="s">
        <v>2111</v>
      </c>
      <c r="D533" s="20" t="s">
        <v>2112</v>
      </c>
      <c r="E533" t="s">
        <v>2113</v>
      </c>
      <c r="F533"/>
      <c r="G533"/>
      <c r="H533" s="4"/>
      <c r="I533" s="9" t="s">
        <v>2114</v>
      </c>
      <c r="J533" s="9" t="s">
        <v>2115</v>
      </c>
      <c r="K533" s="9" t="s">
        <v>2116</v>
      </c>
      <c r="L533" s="5" t="s">
        <v>958</v>
      </c>
      <c r="M533" t="s">
        <v>54</v>
      </c>
      <c r="N533" s="6" t="s">
        <v>46</v>
      </c>
      <c r="O533" s="6">
        <v>1</v>
      </c>
      <c r="P533"/>
      <c r="Q533" s="6"/>
      <c r="R533" s="7" t="s">
        <v>2117</v>
      </c>
      <c r="S533"/>
      <c r="T533"/>
      <c r="U533"/>
      <c r="V533"/>
      <c r="W533"/>
      <c r="X533"/>
      <c r="Y533"/>
      <c r="Z533"/>
      <c r="AA533"/>
      <c r="AB533"/>
      <c r="AC533" t="s">
        <v>47</v>
      </c>
      <c r="AD533"/>
      <c r="AE533"/>
      <c r="AF533"/>
      <c r="AG533"/>
      <c r="AH533"/>
      <c r="AI533"/>
      <c r="AJ533"/>
      <c r="AK533"/>
      <c r="AL533"/>
    </row>
    <row r="534" spans="1:38" x14ac:dyDescent="0.2">
      <c r="A534" t="s">
        <v>2118</v>
      </c>
      <c r="B534" t="s">
        <v>2066</v>
      </c>
      <c r="C534" s="20" t="s">
        <v>2119</v>
      </c>
      <c r="D534" s="20" t="s">
        <v>2120</v>
      </c>
      <c r="E534" t="s">
        <v>2121</v>
      </c>
      <c r="H534" s="4"/>
      <c r="I534" s="9"/>
      <c r="J534" s="9"/>
      <c r="K534" s="9" t="s">
        <v>642</v>
      </c>
      <c r="L534" s="5" t="s">
        <v>958</v>
      </c>
      <c r="M534" t="s">
        <v>54</v>
      </c>
      <c r="N534" s="6" t="s">
        <v>46</v>
      </c>
      <c r="O534" s="6">
        <v>1</v>
      </c>
      <c r="P534"/>
      <c r="R534" s="7"/>
    </row>
    <row r="535" spans="1:38" x14ac:dyDescent="0.2">
      <c r="A535" t="s">
        <v>2122</v>
      </c>
      <c r="B535" t="s">
        <v>2066</v>
      </c>
      <c r="C535" s="20" t="s">
        <v>2123</v>
      </c>
      <c r="D535" s="20" t="s">
        <v>187</v>
      </c>
      <c r="E535" t="s">
        <v>188</v>
      </c>
      <c r="H535" s="4"/>
      <c r="I535" s="9"/>
      <c r="J535" s="9"/>
      <c r="K535" s="9"/>
      <c r="L535" s="5" t="s">
        <v>958</v>
      </c>
      <c r="M535" t="s">
        <v>54</v>
      </c>
      <c r="N535" s="6" t="s">
        <v>55</v>
      </c>
      <c r="O535" s="6">
        <v>1</v>
      </c>
      <c r="P535"/>
      <c r="R535" s="7"/>
    </row>
    <row r="536" spans="1:38" x14ac:dyDescent="0.2">
      <c r="A536" t="s">
        <v>2124</v>
      </c>
      <c r="B536" t="s">
        <v>2066</v>
      </c>
      <c r="C536" s="20" t="s">
        <v>2125</v>
      </c>
      <c r="D536" s="20" t="s">
        <v>2126</v>
      </c>
      <c r="E536" t="s">
        <v>2127</v>
      </c>
      <c r="H536" s="4"/>
      <c r="I536" s="9" t="s">
        <v>2128</v>
      </c>
      <c r="J536" s="9"/>
      <c r="K536" s="9" t="s">
        <v>2129</v>
      </c>
      <c r="L536" s="5" t="s">
        <v>958</v>
      </c>
      <c r="M536" t="s">
        <v>54</v>
      </c>
      <c r="N536" s="6" t="s">
        <v>46</v>
      </c>
      <c r="O536" s="6">
        <v>1</v>
      </c>
      <c r="P536"/>
      <c r="R536" s="7"/>
      <c r="X536" s="8">
        <v>7.0000000000000007E-2</v>
      </c>
      <c r="Y536" t="s">
        <v>2130</v>
      </c>
      <c r="AJ536" s="14"/>
      <c r="AK536" s="3"/>
    </row>
    <row r="537" spans="1:38" x14ac:dyDescent="0.2">
      <c r="A537" t="s">
        <v>2131</v>
      </c>
      <c r="B537" t="s">
        <v>2066</v>
      </c>
      <c r="C537" s="20" t="s">
        <v>2132</v>
      </c>
      <c r="D537" s="20" t="s">
        <v>2133</v>
      </c>
      <c r="E537" t="s">
        <v>2134</v>
      </c>
      <c r="H537" s="4"/>
      <c r="I537" s="9" t="s">
        <v>2135</v>
      </c>
      <c r="J537" s="9"/>
      <c r="K537" s="9"/>
      <c r="L537" s="5" t="s">
        <v>958</v>
      </c>
      <c r="M537" t="s">
        <v>54</v>
      </c>
      <c r="N537" s="6" t="s">
        <v>46</v>
      </c>
      <c r="O537" s="6">
        <v>1</v>
      </c>
      <c r="P537"/>
      <c r="R537" s="7">
        <v>490</v>
      </c>
    </row>
    <row r="538" spans="1:38" s="3" customFormat="1" x14ac:dyDescent="0.2">
      <c r="A538" t="s">
        <v>2136</v>
      </c>
      <c r="B538" t="s">
        <v>2066</v>
      </c>
      <c r="C538" s="20" t="s">
        <v>2137</v>
      </c>
      <c r="D538" s="20" t="s">
        <v>2138</v>
      </c>
      <c r="E538" t="s">
        <v>2139</v>
      </c>
      <c r="F538"/>
      <c r="G538"/>
      <c r="H538" s="4"/>
      <c r="I538" s="9" t="s">
        <v>2140</v>
      </c>
      <c r="J538" s="9"/>
      <c r="K538" s="9"/>
      <c r="L538" s="5" t="s">
        <v>958</v>
      </c>
      <c r="M538" t="s">
        <v>54</v>
      </c>
      <c r="N538" s="6" t="s">
        <v>65</v>
      </c>
      <c r="O538" s="6">
        <v>1</v>
      </c>
      <c r="P538"/>
      <c r="Q538" s="6"/>
      <c r="R538" s="7" t="s">
        <v>2141</v>
      </c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</row>
    <row r="539" spans="1:38" x14ac:dyDescent="0.2">
      <c r="A539" t="s">
        <v>2142</v>
      </c>
      <c r="B539" t="s">
        <v>2066</v>
      </c>
      <c r="C539" s="20" t="s">
        <v>2143</v>
      </c>
      <c r="D539" s="20" t="s">
        <v>2144</v>
      </c>
      <c r="E539" t="s">
        <v>2145</v>
      </c>
      <c r="H539" s="4"/>
      <c r="I539" s="9" t="s">
        <v>2146</v>
      </c>
      <c r="J539" s="9"/>
      <c r="K539" s="9"/>
      <c r="L539" s="5" t="s">
        <v>958</v>
      </c>
      <c r="M539" t="s">
        <v>54</v>
      </c>
      <c r="N539" s="6" t="s">
        <v>46</v>
      </c>
      <c r="O539" s="6">
        <v>1</v>
      </c>
      <c r="P539"/>
      <c r="R539" s="7">
        <v>450</v>
      </c>
      <c r="X539" s="8">
        <v>0.39</v>
      </c>
      <c r="Y539" t="s">
        <v>315</v>
      </c>
    </row>
    <row r="540" spans="1:38" x14ac:dyDescent="0.2">
      <c r="A540" t="s">
        <v>2147</v>
      </c>
      <c r="B540" t="s">
        <v>2066</v>
      </c>
      <c r="C540" s="20" t="s">
        <v>2143</v>
      </c>
      <c r="D540" s="20" t="s">
        <v>2148</v>
      </c>
      <c r="E540" t="s">
        <v>690</v>
      </c>
      <c r="H540" s="4"/>
      <c r="I540" s="9" t="s">
        <v>2149</v>
      </c>
      <c r="J540" s="9"/>
      <c r="K540" s="9"/>
      <c r="L540" s="5" t="s">
        <v>958</v>
      </c>
      <c r="M540" t="s">
        <v>54</v>
      </c>
      <c r="N540" s="6" t="s">
        <v>46</v>
      </c>
      <c r="O540" s="6">
        <v>1</v>
      </c>
      <c r="P540"/>
      <c r="R540" s="7">
        <v>456</v>
      </c>
    </row>
    <row r="541" spans="1:38" x14ac:dyDescent="0.2">
      <c r="A541" t="s">
        <v>2150</v>
      </c>
      <c r="B541" t="s">
        <v>2066</v>
      </c>
      <c r="C541" s="20" t="s">
        <v>2143</v>
      </c>
      <c r="D541" s="20" t="s">
        <v>2151</v>
      </c>
      <c r="E541" t="s">
        <v>85</v>
      </c>
      <c r="H541" s="4"/>
      <c r="I541" s="9" t="s">
        <v>2152</v>
      </c>
      <c r="J541" s="9"/>
      <c r="K541" s="9" t="s">
        <v>2098</v>
      </c>
      <c r="L541" s="5" t="s">
        <v>958</v>
      </c>
      <c r="M541" t="s">
        <v>54</v>
      </c>
      <c r="N541" s="6" t="s">
        <v>46</v>
      </c>
      <c r="O541" s="6">
        <v>1</v>
      </c>
      <c r="P541"/>
      <c r="R541" s="7">
        <v>457</v>
      </c>
      <c r="X541" s="8">
        <v>0.30430000000000001</v>
      </c>
      <c r="Y541" t="s">
        <v>429</v>
      </c>
    </row>
    <row r="542" spans="1:38" x14ac:dyDescent="0.2">
      <c r="A542" t="s">
        <v>2153</v>
      </c>
      <c r="B542" t="s">
        <v>2066</v>
      </c>
      <c r="C542" s="20" t="s">
        <v>2143</v>
      </c>
      <c r="D542" s="20" t="s">
        <v>2154</v>
      </c>
      <c r="E542" t="s">
        <v>2155</v>
      </c>
      <c r="H542" s="4"/>
      <c r="I542" s="9" t="s">
        <v>2156</v>
      </c>
      <c r="J542" s="9"/>
      <c r="K542" s="9" t="s">
        <v>2157</v>
      </c>
      <c r="L542" s="5" t="s">
        <v>958</v>
      </c>
      <c r="M542" t="s">
        <v>54</v>
      </c>
      <c r="N542" s="6" t="s">
        <v>46</v>
      </c>
      <c r="O542" s="6">
        <v>1</v>
      </c>
      <c r="P542"/>
      <c r="R542" s="7">
        <v>562</v>
      </c>
      <c r="X542">
        <v>1.6060000000000001</v>
      </c>
      <c r="Y542" t="s">
        <v>845</v>
      </c>
    </row>
    <row r="543" spans="1:38" x14ac:dyDescent="0.2">
      <c r="A543" t="s">
        <v>2158</v>
      </c>
      <c r="B543" t="s">
        <v>2066</v>
      </c>
      <c r="C543" s="20" t="s">
        <v>2143</v>
      </c>
      <c r="D543" s="20" t="s">
        <v>2159</v>
      </c>
      <c r="E543" t="s">
        <v>85</v>
      </c>
      <c r="H543" s="4"/>
      <c r="I543" s="9" t="s">
        <v>2160</v>
      </c>
      <c r="J543" s="9"/>
      <c r="K543" s="9" t="s">
        <v>2161</v>
      </c>
      <c r="L543" s="5" t="s">
        <v>958</v>
      </c>
      <c r="M543" t="s">
        <v>54</v>
      </c>
      <c r="N543" s="6" t="s">
        <v>46</v>
      </c>
      <c r="O543" s="6">
        <v>1</v>
      </c>
      <c r="P543"/>
      <c r="R543" s="7"/>
    </row>
    <row r="544" spans="1:38" x14ac:dyDescent="0.2">
      <c r="A544" t="s">
        <v>2162</v>
      </c>
      <c r="B544" t="s">
        <v>2066</v>
      </c>
      <c r="C544" s="20" t="s">
        <v>2163</v>
      </c>
      <c r="D544" s="20" t="s">
        <v>2164</v>
      </c>
      <c r="E544" t="s">
        <v>2165</v>
      </c>
      <c r="H544" s="4"/>
      <c r="I544" s="9"/>
      <c r="J544" s="9"/>
      <c r="K544" s="9"/>
      <c r="L544" s="5" t="s">
        <v>958</v>
      </c>
      <c r="M544" t="s">
        <v>54</v>
      </c>
      <c r="N544" s="6" t="s">
        <v>46</v>
      </c>
      <c r="O544" s="6">
        <v>1</v>
      </c>
      <c r="P544"/>
      <c r="R544" s="7"/>
      <c r="X544">
        <v>0.32300000000000001</v>
      </c>
      <c r="Y544" t="s">
        <v>66</v>
      </c>
      <c r="AD544" s="17">
        <v>5.32</v>
      </c>
      <c r="AE544">
        <v>20</v>
      </c>
      <c r="AF544" s="8">
        <v>6.05</v>
      </c>
      <c r="AG544" s="8">
        <v>1.75</v>
      </c>
    </row>
    <row r="545" spans="1:39" x14ac:dyDescent="0.2">
      <c r="A545" t="s">
        <v>2166</v>
      </c>
      <c r="B545" t="s">
        <v>2066</v>
      </c>
      <c r="C545" s="20" t="s">
        <v>2167</v>
      </c>
      <c r="D545" s="20" t="s">
        <v>2168</v>
      </c>
      <c r="E545" t="s">
        <v>85</v>
      </c>
      <c r="H545" s="4"/>
      <c r="I545" s="9"/>
      <c r="J545" s="9"/>
      <c r="K545" s="9"/>
      <c r="L545" s="5" t="s">
        <v>958</v>
      </c>
      <c r="M545" t="s">
        <v>54</v>
      </c>
      <c r="N545" s="6" t="s">
        <v>46</v>
      </c>
      <c r="O545" s="6">
        <v>1</v>
      </c>
      <c r="P545"/>
      <c r="R545" s="7"/>
    </row>
    <row r="546" spans="1:39" x14ac:dyDescent="0.2">
      <c r="A546" t="s">
        <v>2169</v>
      </c>
      <c r="B546" t="s">
        <v>2066</v>
      </c>
      <c r="C546" s="20" t="s">
        <v>2170</v>
      </c>
      <c r="D546" s="20" t="s">
        <v>2171</v>
      </c>
      <c r="E546" t="s">
        <v>2172</v>
      </c>
      <c r="H546" s="4"/>
      <c r="I546" s="9"/>
      <c r="J546" s="9"/>
      <c r="K546" s="9"/>
      <c r="L546" s="5" t="s">
        <v>958</v>
      </c>
      <c r="M546" t="s">
        <v>54</v>
      </c>
      <c r="N546" s="6" t="s">
        <v>46</v>
      </c>
      <c r="O546" s="6">
        <v>1</v>
      </c>
      <c r="P546"/>
      <c r="R546" s="7"/>
    </row>
    <row r="547" spans="1:39" x14ac:dyDescent="0.2">
      <c r="A547" t="s">
        <v>2173</v>
      </c>
      <c r="B547" t="s">
        <v>2066</v>
      </c>
      <c r="C547" s="20" t="s">
        <v>2174</v>
      </c>
      <c r="D547" s="20" t="s">
        <v>2175</v>
      </c>
      <c r="E547" t="s">
        <v>2176</v>
      </c>
      <c r="H547" s="4"/>
      <c r="I547" s="9" t="s">
        <v>2177</v>
      </c>
      <c r="J547" s="9"/>
      <c r="K547" s="9" t="s">
        <v>2178</v>
      </c>
      <c r="L547" s="5" t="s">
        <v>958</v>
      </c>
      <c r="M547" t="s">
        <v>54</v>
      </c>
      <c r="N547" s="6" t="s">
        <v>46</v>
      </c>
      <c r="O547" s="6">
        <v>1</v>
      </c>
      <c r="P547"/>
      <c r="R547" s="7"/>
      <c r="X547">
        <v>1.294</v>
      </c>
      <c r="Y547" t="s">
        <v>66</v>
      </c>
      <c r="AC547" t="s">
        <v>47</v>
      </c>
    </row>
    <row r="548" spans="1:39" x14ac:dyDescent="0.2">
      <c r="A548" t="s">
        <v>2179</v>
      </c>
      <c r="B548" t="s">
        <v>2180</v>
      </c>
      <c r="C548" s="20" t="s">
        <v>2181</v>
      </c>
      <c r="D548" s="20" t="s">
        <v>531</v>
      </c>
      <c r="E548" t="s">
        <v>2182</v>
      </c>
      <c r="H548" s="45" t="s">
        <v>2183</v>
      </c>
      <c r="I548" s="9" t="s">
        <v>2184</v>
      </c>
      <c r="J548" s="9"/>
      <c r="K548" s="9" t="s">
        <v>62</v>
      </c>
      <c r="L548" s="5" t="s">
        <v>81</v>
      </c>
      <c r="M548" t="s">
        <v>64</v>
      </c>
      <c r="N548" s="6" t="s">
        <v>46</v>
      </c>
      <c r="O548" s="6">
        <v>1</v>
      </c>
      <c r="P548" s="6">
        <v>194</v>
      </c>
      <c r="Q548" s="6" t="s">
        <v>74</v>
      </c>
      <c r="R548" s="7">
        <v>564</v>
      </c>
      <c r="S548" s="8">
        <v>63.006385924999996</v>
      </c>
      <c r="T548" t="s">
        <v>88</v>
      </c>
      <c r="X548" s="8">
        <v>8.1551542370814403</v>
      </c>
      <c r="Y548" t="s">
        <v>88</v>
      </c>
      <c r="Z548" s="17">
        <v>13.844444444444401</v>
      </c>
      <c r="AA548">
        <v>9</v>
      </c>
      <c r="AD548" s="17">
        <v>44.428571428571402</v>
      </c>
      <c r="AE548">
        <v>7</v>
      </c>
      <c r="AF548" s="8">
        <v>6.2750000000000004</v>
      </c>
      <c r="AG548" s="8">
        <v>4.05</v>
      </c>
    </row>
    <row r="549" spans="1:39" x14ac:dyDescent="0.2">
      <c r="A549" t="s">
        <v>2185</v>
      </c>
      <c r="B549" t="s">
        <v>2180</v>
      </c>
      <c r="C549" s="20" t="s">
        <v>2186</v>
      </c>
      <c r="D549" s="20" t="s">
        <v>200</v>
      </c>
      <c r="E549" t="s">
        <v>85</v>
      </c>
      <c r="H549" s="4"/>
      <c r="I549" s="9"/>
      <c r="J549" s="9"/>
      <c r="K549" s="9"/>
      <c r="L549" s="5" t="s">
        <v>44</v>
      </c>
      <c r="M549" t="s">
        <v>64</v>
      </c>
      <c r="N549" s="6" t="s">
        <v>46</v>
      </c>
      <c r="O549" s="6">
        <v>2</v>
      </c>
      <c r="P549"/>
      <c r="R549" s="7"/>
      <c r="S549" s="8">
        <v>25.158000000000001</v>
      </c>
      <c r="T549" t="s">
        <v>88</v>
      </c>
    </row>
    <row r="550" spans="1:39" x14ac:dyDescent="0.2">
      <c r="A550" t="s">
        <v>2187</v>
      </c>
      <c r="B550" t="s">
        <v>2180</v>
      </c>
      <c r="C550" s="66" t="s">
        <v>2188</v>
      </c>
      <c r="D550" s="20" t="s">
        <v>1045</v>
      </c>
      <c r="E550" t="s">
        <v>2189</v>
      </c>
      <c r="H550" s="4"/>
      <c r="I550" s="9" t="s">
        <v>2190</v>
      </c>
      <c r="J550" s="9"/>
      <c r="K550" s="9"/>
      <c r="L550" s="5" t="s">
        <v>117</v>
      </c>
      <c r="M550" t="s">
        <v>207</v>
      </c>
      <c r="N550" s="6" t="s">
        <v>46</v>
      </c>
      <c r="O550" s="6">
        <v>2</v>
      </c>
      <c r="P550" s="7">
        <v>212</v>
      </c>
      <c r="Q550" s="7"/>
      <c r="R550" s="7"/>
      <c r="S550">
        <v>16.267098000000001</v>
      </c>
      <c r="T550" t="s">
        <v>66</v>
      </c>
      <c r="X550">
        <v>65.59</v>
      </c>
      <c r="Y550" t="s">
        <v>66</v>
      </c>
      <c r="AM550" s="3"/>
    </row>
    <row r="551" spans="1:39" s="3" customFormat="1" x14ac:dyDescent="0.2">
      <c r="A551" t="s">
        <v>2191</v>
      </c>
      <c r="B551" t="s">
        <v>2192</v>
      </c>
      <c r="C551" s="20" t="s">
        <v>2193</v>
      </c>
      <c r="D551" s="20" t="s">
        <v>772</v>
      </c>
      <c r="E551"/>
      <c r="F551">
        <v>1</v>
      </c>
      <c r="G551"/>
      <c r="H551" t="s">
        <v>2194</v>
      </c>
      <c r="L551" s="6" t="s">
        <v>94</v>
      </c>
      <c r="M551" t="s">
        <v>64</v>
      </c>
      <c r="N551" s="6" t="s">
        <v>65</v>
      </c>
      <c r="O551" s="6">
        <v>1</v>
      </c>
      <c r="P551"/>
      <c r="Q551" s="6"/>
      <c r="S551">
        <v>8.41</v>
      </c>
      <c r="T551" t="s">
        <v>1722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</row>
    <row r="552" spans="1:39" x14ac:dyDescent="0.2">
      <c r="A552" t="s">
        <v>2195</v>
      </c>
      <c r="B552" t="s">
        <v>2192</v>
      </c>
      <c r="C552" s="20" t="s">
        <v>2196</v>
      </c>
      <c r="D552" s="20" t="s">
        <v>187</v>
      </c>
      <c r="E552" t="s">
        <v>188</v>
      </c>
      <c r="L552" s="5" t="s">
        <v>44</v>
      </c>
      <c r="M552" t="s">
        <v>54</v>
      </c>
      <c r="N552" s="6" t="s">
        <v>46</v>
      </c>
      <c r="O552" s="6">
        <v>1</v>
      </c>
      <c r="P552"/>
    </row>
    <row r="553" spans="1:39" x14ac:dyDescent="0.2">
      <c r="A553" t="s">
        <v>2197</v>
      </c>
      <c r="B553" t="s">
        <v>2198</v>
      </c>
      <c r="C553" s="20" t="s">
        <v>2199</v>
      </c>
      <c r="D553" s="20" t="s">
        <v>2200</v>
      </c>
      <c r="E553" t="s">
        <v>134</v>
      </c>
      <c r="L553" s="5" t="s">
        <v>81</v>
      </c>
      <c r="M553" t="s">
        <v>64</v>
      </c>
      <c r="N553" s="6" t="s">
        <v>55</v>
      </c>
      <c r="O553" s="6">
        <v>1</v>
      </c>
      <c r="P553"/>
    </row>
    <row r="554" spans="1:39" x14ac:dyDescent="0.2">
      <c r="A554" t="s">
        <v>2201</v>
      </c>
      <c r="B554" t="s">
        <v>2198</v>
      </c>
      <c r="C554" s="20" t="s">
        <v>2199</v>
      </c>
      <c r="D554" s="20" t="s">
        <v>2202</v>
      </c>
      <c r="E554" t="s">
        <v>2203</v>
      </c>
      <c r="L554" s="6" t="s">
        <v>94</v>
      </c>
      <c r="M554" t="s">
        <v>64</v>
      </c>
      <c r="N554" s="6" t="s">
        <v>65</v>
      </c>
      <c r="O554" s="6">
        <v>1</v>
      </c>
      <c r="P554"/>
      <c r="R554" s="3"/>
    </row>
    <row r="555" spans="1:39" x14ac:dyDescent="0.2">
      <c r="A555" t="s">
        <v>2204</v>
      </c>
      <c r="B555" t="s">
        <v>2198</v>
      </c>
      <c r="C555" s="20" t="s">
        <v>2199</v>
      </c>
      <c r="D555" s="20" t="s">
        <v>2205</v>
      </c>
      <c r="E555" t="s">
        <v>59</v>
      </c>
      <c r="I555" s="3"/>
      <c r="J555" s="3"/>
      <c r="K555" s="3"/>
      <c r="L555" s="6" t="s">
        <v>94</v>
      </c>
      <c r="M555" t="s">
        <v>64</v>
      </c>
      <c r="N555" s="6" t="s">
        <v>65</v>
      </c>
      <c r="O555" s="6">
        <v>2</v>
      </c>
      <c r="P555"/>
      <c r="R555" s="3"/>
    </row>
    <row r="556" spans="1:39" x14ac:dyDescent="0.2">
      <c r="A556" t="s">
        <v>2206</v>
      </c>
      <c r="B556" t="s">
        <v>2198</v>
      </c>
      <c r="C556" s="20" t="s">
        <v>2199</v>
      </c>
      <c r="D556" s="20" t="s">
        <v>2207</v>
      </c>
      <c r="E556" t="s">
        <v>69</v>
      </c>
      <c r="L556" s="5" t="s">
        <v>81</v>
      </c>
      <c r="M556" t="s">
        <v>64</v>
      </c>
      <c r="N556" s="6" t="s">
        <v>65</v>
      </c>
      <c r="O556" s="6">
        <v>2</v>
      </c>
      <c r="P556"/>
    </row>
    <row r="557" spans="1:39" x14ac:dyDescent="0.2">
      <c r="A557" t="s">
        <v>2208</v>
      </c>
      <c r="B557" t="s">
        <v>2198</v>
      </c>
      <c r="C557" s="20" t="s">
        <v>2199</v>
      </c>
      <c r="D557" s="20" t="s">
        <v>187</v>
      </c>
      <c r="E557" t="s">
        <v>188</v>
      </c>
      <c r="I557" s="9" t="s">
        <v>2209</v>
      </c>
      <c r="J557" s="4"/>
      <c r="L557" s="5" t="s">
        <v>81</v>
      </c>
      <c r="M557" t="s">
        <v>64</v>
      </c>
      <c r="N557" s="6" t="s">
        <v>65</v>
      </c>
      <c r="O557" s="6" t="s">
        <v>208</v>
      </c>
      <c r="P557" s="6" t="s">
        <v>2210</v>
      </c>
      <c r="R557" s="7"/>
    </row>
    <row r="558" spans="1:39" x14ac:dyDescent="0.2">
      <c r="A558" t="s">
        <v>2211</v>
      </c>
      <c r="B558" t="s">
        <v>2198</v>
      </c>
      <c r="C558" s="20" t="s">
        <v>2199</v>
      </c>
      <c r="D558" s="20" t="s">
        <v>2212</v>
      </c>
      <c r="E558" t="s">
        <v>2203</v>
      </c>
      <c r="L558" s="5" t="s">
        <v>81</v>
      </c>
      <c r="M558" t="s">
        <v>64</v>
      </c>
      <c r="N558" s="6" t="s">
        <v>65</v>
      </c>
      <c r="O558" s="6">
        <v>2</v>
      </c>
      <c r="P558"/>
      <c r="Q558" s="6" t="s">
        <v>74</v>
      </c>
    </row>
    <row r="559" spans="1:39" x14ac:dyDescent="0.2">
      <c r="A559" t="s">
        <v>2213</v>
      </c>
      <c r="B559" t="s">
        <v>2198</v>
      </c>
      <c r="C559" s="20" t="s">
        <v>2214</v>
      </c>
      <c r="D559" s="20" t="s">
        <v>2215</v>
      </c>
      <c r="E559" t="s">
        <v>2216</v>
      </c>
      <c r="I559" s="3"/>
      <c r="J559" s="3"/>
      <c r="L559" s="6" t="s">
        <v>99</v>
      </c>
      <c r="M559" t="s">
        <v>64</v>
      </c>
      <c r="N559" s="6" t="s">
        <v>46</v>
      </c>
      <c r="O559" s="6">
        <v>1</v>
      </c>
      <c r="P559" s="6">
        <v>147</v>
      </c>
      <c r="Q559" s="6" t="s">
        <v>74</v>
      </c>
      <c r="R559" s="3"/>
      <c r="U559" s="18">
        <v>16.4484758105385</v>
      </c>
      <c r="V559" s="18">
        <v>64.249998462360793</v>
      </c>
      <c r="W559" s="18">
        <v>10</v>
      </c>
      <c r="X559" s="8">
        <v>4.5599999999999996</v>
      </c>
      <c r="Y559" t="s">
        <v>315</v>
      </c>
      <c r="Z559" s="17">
        <v>8.64</v>
      </c>
      <c r="AA559">
        <v>10</v>
      </c>
      <c r="AF559" s="8">
        <v>3.37</v>
      </c>
      <c r="AG559" s="8">
        <v>2.57</v>
      </c>
      <c r="AH559" s="8">
        <v>0.59935433699999996</v>
      </c>
      <c r="AI559" t="s">
        <v>66</v>
      </c>
      <c r="AJ559" s="8">
        <v>0.47599999999999998</v>
      </c>
      <c r="AK559" t="s">
        <v>2217</v>
      </c>
    </row>
    <row r="560" spans="1:39" x14ac:dyDescent="0.2">
      <c r="A560" t="s">
        <v>2218</v>
      </c>
      <c r="B560" t="s">
        <v>2198</v>
      </c>
      <c r="C560" s="20" t="s">
        <v>2214</v>
      </c>
      <c r="D560" s="20" t="s">
        <v>2219</v>
      </c>
      <c r="E560" t="s">
        <v>69</v>
      </c>
      <c r="I560" s="3"/>
      <c r="J560" s="3"/>
      <c r="L560" s="6" t="s">
        <v>99</v>
      </c>
      <c r="M560" t="s">
        <v>64</v>
      </c>
      <c r="N560" s="6" t="s">
        <v>55</v>
      </c>
      <c r="O560" s="6">
        <v>1</v>
      </c>
      <c r="R560" s="3"/>
      <c r="U560" s="18"/>
      <c r="V560" s="18"/>
      <c r="W560" s="18"/>
      <c r="X560" s="8"/>
      <c r="Z560" s="17"/>
      <c r="AF560" s="8"/>
      <c r="AG560" s="8"/>
      <c r="AH560" s="8"/>
      <c r="AJ560" s="8"/>
    </row>
    <row r="561" spans="1:39" x14ac:dyDescent="0.2">
      <c r="A561" t="s">
        <v>2220</v>
      </c>
      <c r="B561" t="s">
        <v>2221</v>
      </c>
      <c r="C561" s="20" t="s">
        <v>2222</v>
      </c>
      <c r="D561" s="20" t="s">
        <v>2223</v>
      </c>
      <c r="E561" t="s">
        <v>59</v>
      </c>
      <c r="I561" s="3"/>
      <c r="J561" s="3"/>
      <c r="K561" s="3"/>
      <c r="L561" s="6" t="s">
        <v>99</v>
      </c>
      <c r="M561" t="s">
        <v>64</v>
      </c>
      <c r="N561" s="6" t="s">
        <v>65</v>
      </c>
      <c r="O561" s="6">
        <v>3</v>
      </c>
      <c r="P561"/>
      <c r="R561" s="3"/>
    </row>
    <row r="562" spans="1:39" x14ac:dyDescent="0.2">
      <c r="A562" t="s">
        <v>2224</v>
      </c>
      <c r="B562" t="s">
        <v>2225</v>
      </c>
      <c r="C562" s="20" t="s">
        <v>2226</v>
      </c>
      <c r="D562" s="20" t="s">
        <v>2227</v>
      </c>
      <c r="E562" t="s">
        <v>487</v>
      </c>
      <c r="H562" t="s">
        <v>2228</v>
      </c>
      <c r="I562" s="3" t="s">
        <v>2229</v>
      </c>
      <c r="J562" s="3"/>
      <c r="K562" s="9" t="s">
        <v>2230</v>
      </c>
      <c r="L562" s="5" t="s">
        <v>63</v>
      </c>
      <c r="M562" t="s">
        <v>207</v>
      </c>
      <c r="N562" s="6" t="s">
        <v>46</v>
      </c>
      <c r="O562" s="6">
        <v>1</v>
      </c>
      <c r="P562" s="6">
        <v>210</v>
      </c>
      <c r="Q562" s="6" t="s">
        <v>74</v>
      </c>
      <c r="R562" s="3"/>
      <c r="S562" s="8">
        <v>21.809902820192299</v>
      </c>
      <c r="T562" t="s">
        <v>88</v>
      </c>
      <c r="X562" s="8">
        <v>0.82691825689096399</v>
      </c>
      <c r="Y562" t="s">
        <v>88</v>
      </c>
      <c r="Z562" s="17">
        <v>2.2000000000000002</v>
      </c>
      <c r="AA562">
        <v>1</v>
      </c>
      <c r="AF562" s="8">
        <v>4.5</v>
      </c>
      <c r="AG562" s="8">
        <v>2.6</v>
      </c>
    </row>
    <row r="563" spans="1:39" x14ac:dyDescent="0.2">
      <c r="A563" t="s">
        <v>2231</v>
      </c>
      <c r="B563" t="s">
        <v>2232</v>
      </c>
      <c r="C563" s="20" t="s">
        <v>2233</v>
      </c>
      <c r="D563" s="20" t="s">
        <v>909</v>
      </c>
      <c r="E563" t="s">
        <v>2234</v>
      </c>
      <c r="H563" t="s">
        <v>2235</v>
      </c>
      <c r="I563" s="9"/>
      <c r="J563" s="9"/>
      <c r="K563" s="9" t="s">
        <v>2236</v>
      </c>
      <c r="L563" s="6" t="s">
        <v>94</v>
      </c>
      <c r="M563" t="s">
        <v>64</v>
      </c>
      <c r="N563" s="6" t="s">
        <v>46</v>
      </c>
      <c r="O563" s="6">
        <v>1</v>
      </c>
      <c r="P563" s="6">
        <v>118</v>
      </c>
      <c r="Q563" s="6" t="s">
        <v>74</v>
      </c>
      <c r="R563" s="7"/>
    </row>
    <row r="564" spans="1:39" x14ac:dyDescent="0.2">
      <c r="A564" t="s">
        <v>2237</v>
      </c>
      <c r="B564" t="s">
        <v>2232</v>
      </c>
      <c r="C564" s="20" t="s">
        <v>2238</v>
      </c>
      <c r="D564" s="20" t="s">
        <v>2239</v>
      </c>
      <c r="E564" t="s">
        <v>2240</v>
      </c>
      <c r="H564" s="4"/>
      <c r="I564" s="9"/>
      <c r="J564" s="9"/>
      <c r="K564" s="9" t="s">
        <v>2241</v>
      </c>
      <c r="L564" s="5" t="s">
        <v>63</v>
      </c>
      <c r="M564" t="s">
        <v>207</v>
      </c>
      <c r="N564" s="6" t="s">
        <v>46</v>
      </c>
      <c r="O564" s="6">
        <v>1</v>
      </c>
      <c r="P564"/>
      <c r="Q564" s="6" t="s">
        <v>74</v>
      </c>
      <c r="R564" s="7"/>
      <c r="X564" s="8">
        <v>1.77</v>
      </c>
      <c r="Y564" t="s">
        <v>2242</v>
      </c>
      <c r="Z564" s="17">
        <v>2.72</v>
      </c>
      <c r="AA564">
        <v>10</v>
      </c>
      <c r="AF564" s="8">
        <v>2.35</v>
      </c>
      <c r="AG564" s="8">
        <v>1.86</v>
      </c>
    </row>
    <row r="565" spans="1:39" x14ac:dyDescent="0.2">
      <c r="A565" t="s">
        <v>2243</v>
      </c>
      <c r="B565" t="s">
        <v>2244</v>
      </c>
      <c r="C565" s="20" t="s">
        <v>2245</v>
      </c>
      <c r="D565" s="20" t="s">
        <v>2246</v>
      </c>
      <c r="E565" t="s">
        <v>2247</v>
      </c>
      <c r="I565" s="3"/>
      <c r="J565" s="3"/>
      <c r="K565" s="3"/>
      <c r="L565" s="6" t="s">
        <v>99</v>
      </c>
      <c r="M565" t="s">
        <v>64</v>
      </c>
      <c r="N565" s="6" t="s">
        <v>65</v>
      </c>
      <c r="O565" s="6">
        <v>1</v>
      </c>
      <c r="P565"/>
      <c r="R565" s="3"/>
      <c r="S565">
        <v>12.66423732</v>
      </c>
      <c r="T565" t="s">
        <v>2248</v>
      </c>
      <c r="X565">
        <v>5.3550000000000004</v>
      </c>
      <c r="Y565" t="s">
        <v>66</v>
      </c>
      <c r="AH565" s="8">
        <v>0.66076531599999999</v>
      </c>
      <c r="AI565" t="s">
        <v>66</v>
      </c>
    </row>
    <row r="566" spans="1:39" x14ac:dyDescent="0.2">
      <c r="A566" t="s">
        <v>2249</v>
      </c>
      <c r="B566" t="s">
        <v>2250</v>
      </c>
      <c r="C566" s="20" t="s">
        <v>2251</v>
      </c>
      <c r="D566" s="20" t="s">
        <v>611</v>
      </c>
      <c r="E566" t="s">
        <v>2252</v>
      </c>
      <c r="I566" t="s">
        <v>2253</v>
      </c>
      <c r="K566" s="6"/>
      <c r="L566" s="6" t="s">
        <v>94</v>
      </c>
      <c r="M566" t="s">
        <v>64</v>
      </c>
      <c r="N566" s="6" t="s">
        <v>46</v>
      </c>
      <c r="O566" s="6">
        <v>3</v>
      </c>
      <c r="R566" s="7"/>
      <c r="S566" s="8"/>
      <c r="X566" s="8"/>
    </row>
    <row r="567" spans="1:39" x14ac:dyDescent="0.2">
      <c r="A567" t="s">
        <v>2254</v>
      </c>
      <c r="B567" t="s">
        <v>2250</v>
      </c>
      <c r="C567" s="20" t="s">
        <v>2255</v>
      </c>
      <c r="D567" s="20" t="s">
        <v>2256</v>
      </c>
      <c r="E567" t="s">
        <v>690</v>
      </c>
      <c r="F567">
        <v>1</v>
      </c>
      <c r="K567" s="6"/>
      <c r="L567" s="6" t="s">
        <v>99</v>
      </c>
      <c r="M567" t="s">
        <v>64</v>
      </c>
      <c r="N567" s="6" t="s">
        <v>65</v>
      </c>
      <c r="O567" s="6">
        <v>3</v>
      </c>
      <c r="R567" s="7"/>
      <c r="S567" s="8"/>
      <c r="X567" s="8"/>
    </row>
    <row r="568" spans="1:39" x14ac:dyDescent="0.2">
      <c r="A568" t="s">
        <v>2257</v>
      </c>
      <c r="B568" t="s">
        <v>2250</v>
      </c>
      <c r="C568" s="20" t="s">
        <v>2255</v>
      </c>
      <c r="D568" s="20" t="s">
        <v>2258</v>
      </c>
      <c r="E568" t="s">
        <v>188</v>
      </c>
      <c r="H568" t="s">
        <v>2751</v>
      </c>
      <c r="I568" s="3" t="s">
        <v>2259</v>
      </c>
      <c r="J568" s="3"/>
      <c r="K568" s="27" t="s">
        <v>2260</v>
      </c>
      <c r="L568" s="6" t="s">
        <v>99</v>
      </c>
      <c r="M568" t="s">
        <v>64</v>
      </c>
      <c r="N568" s="6" t="s">
        <v>65</v>
      </c>
      <c r="O568" s="6">
        <v>3</v>
      </c>
      <c r="P568"/>
      <c r="R568" s="3"/>
      <c r="S568">
        <v>8.2372322889999996</v>
      </c>
      <c r="T568" t="s">
        <v>564</v>
      </c>
      <c r="AL568" s="3"/>
    </row>
    <row r="569" spans="1:39" x14ac:dyDescent="0.2">
      <c r="A569" t="s">
        <v>2261</v>
      </c>
      <c r="B569" t="s">
        <v>2250</v>
      </c>
      <c r="C569" s="20" t="s">
        <v>2255</v>
      </c>
      <c r="D569" s="20" t="s">
        <v>364</v>
      </c>
      <c r="I569" s="3"/>
      <c r="J569" s="3"/>
      <c r="K569" s="27"/>
      <c r="L569" s="6" t="s">
        <v>99</v>
      </c>
      <c r="M569" t="s">
        <v>64</v>
      </c>
      <c r="N569" s="6" t="s">
        <v>65</v>
      </c>
      <c r="O569" s="6">
        <v>3</v>
      </c>
      <c r="P569"/>
      <c r="R569" s="3"/>
      <c r="AL569" s="3"/>
    </row>
    <row r="570" spans="1:39" x14ac:dyDescent="0.2">
      <c r="A570" t="s">
        <v>2262</v>
      </c>
      <c r="B570" t="s">
        <v>2250</v>
      </c>
      <c r="C570" s="20" t="s">
        <v>2263</v>
      </c>
      <c r="D570" s="20" t="s">
        <v>2264</v>
      </c>
      <c r="E570" t="s">
        <v>2265</v>
      </c>
      <c r="I570" s="3"/>
      <c r="J570" s="3"/>
      <c r="L570" s="5" t="s">
        <v>81</v>
      </c>
      <c r="M570" t="s">
        <v>64</v>
      </c>
      <c r="N570" s="6" t="s">
        <v>46</v>
      </c>
      <c r="O570" s="6">
        <v>1</v>
      </c>
      <c r="P570"/>
      <c r="Q570" s="6" t="s">
        <v>74</v>
      </c>
      <c r="R570" s="3"/>
      <c r="S570">
        <v>23.92</v>
      </c>
      <c r="T570" t="s">
        <v>66</v>
      </c>
      <c r="X570" s="8">
        <v>0.32</v>
      </c>
      <c r="Y570" t="s">
        <v>2266</v>
      </c>
      <c r="Z570" s="17">
        <v>0.35</v>
      </c>
      <c r="AA570">
        <v>20</v>
      </c>
      <c r="AD570" s="17">
        <v>0.34</v>
      </c>
      <c r="AE570">
        <v>10</v>
      </c>
      <c r="AF570" s="8">
        <v>1.635</v>
      </c>
      <c r="AG570" s="8">
        <v>9.2499999999999999E-2</v>
      </c>
    </row>
    <row r="571" spans="1:39" x14ac:dyDescent="0.2">
      <c r="A571" t="s">
        <v>2267</v>
      </c>
      <c r="B571" t="s">
        <v>2250</v>
      </c>
      <c r="C571" s="20" t="s">
        <v>2263</v>
      </c>
      <c r="D571" s="20" t="s">
        <v>364</v>
      </c>
      <c r="E571" t="s">
        <v>188</v>
      </c>
      <c r="I571" s="3"/>
      <c r="J571" s="3"/>
      <c r="L571" s="5" t="s">
        <v>81</v>
      </c>
      <c r="M571" t="s">
        <v>64</v>
      </c>
      <c r="N571" s="6" t="s">
        <v>46</v>
      </c>
      <c r="O571" s="6">
        <v>1</v>
      </c>
      <c r="P571"/>
      <c r="R571" s="3"/>
    </row>
    <row r="572" spans="1:39" x14ac:dyDescent="0.2">
      <c r="A572" t="s">
        <v>2268</v>
      </c>
      <c r="B572" t="s">
        <v>2250</v>
      </c>
      <c r="C572" s="20" t="s">
        <v>2263</v>
      </c>
      <c r="D572" s="20" t="s">
        <v>2269</v>
      </c>
      <c r="E572" t="s">
        <v>2270</v>
      </c>
      <c r="L572" s="5" t="s">
        <v>81</v>
      </c>
      <c r="M572" t="s">
        <v>64</v>
      </c>
      <c r="N572" s="6" t="s">
        <v>46</v>
      </c>
      <c r="O572" s="6">
        <v>1</v>
      </c>
      <c r="P572"/>
      <c r="Q572" s="6" t="s">
        <v>74</v>
      </c>
      <c r="Z572" s="17">
        <v>2.0775000000000001</v>
      </c>
      <c r="AA572">
        <v>40</v>
      </c>
      <c r="AF572" s="8">
        <v>2.02</v>
      </c>
      <c r="AG572" s="8">
        <v>1.25</v>
      </c>
    </row>
    <row r="573" spans="1:39" x14ac:dyDescent="0.2">
      <c r="A573" t="s">
        <v>2271</v>
      </c>
      <c r="B573" t="s">
        <v>2272</v>
      </c>
      <c r="C573" s="20" t="s">
        <v>2273</v>
      </c>
      <c r="D573" s="20" t="s">
        <v>1094</v>
      </c>
      <c r="E573" t="s">
        <v>2012</v>
      </c>
      <c r="H573" s="4"/>
      <c r="I573" s="9"/>
      <c r="J573" s="9"/>
      <c r="K573" s="9" t="s">
        <v>294</v>
      </c>
      <c r="L573" s="6" t="s">
        <v>99</v>
      </c>
      <c r="M573" t="s">
        <v>207</v>
      </c>
      <c r="N573" s="6" t="s">
        <v>65</v>
      </c>
      <c r="O573" s="6">
        <v>2</v>
      </c>
      <c r="P573"/>
      <c r="R573" s="7"/>
      <c r="AH573" s="8">
        <v>0.54</v>
      </c>
      <c r="AI573" t="s">
        <v>1834</v>
      </c>
    </row>
    <row r="574" spans="1:39" x14ac:dyDescent="0.2">
      <c r="A574" t="s">
        <v>2274</v>
      </c>
      <c r="B574" t="s">
        <v>2272</v>
      </c>
      <c r="C574" s="20" t="s">
        <v>2275</v>
      </c>
      <c r="D574" s="20" t="s">
        <v>2276</v>
      </c>
      <c r="E574" t="s">
        <v>85</v>
      </c>
      <c r="H574" s="4"/>
      <c r="I574" s="9"/>
      <c r="J574" s="9"/>
      <c r="K574" s="9"/>
      <c r="L574" s="5" t="s">
        <v>81</v>
      </c>
      <c r="M574" t="s">
        <v>64</v>
      </c>
      <c r="N574" s="6" t="s">
        <v>208</v>
      </c>
      <c r="O574" s="6">
        <v>2</v>
      </c>
      <c r="P574"/>
      <c r="R574" s="7"/>
      <c r="S574">
        <f>(10.879+13.369+16.911)/3</f>
        <v>13.719666666666667</v>
      </c>
      <c r="T574" t="s">
        <v>2277</v>
      </c>
      <c r="X574" s="8">
        <v>148.13999999999999</v>
      </c>
      <c r="Y574" t="s">
        <v>2266</v>
      </c>
      <c r="AH574" s="8">
        <v>0.62</v>
      </c>
      <c r="AI574" t="s">
        <v>2278</v>
      </c>
      <c r="AL574" s="3"/>
    </row>
    <row r="575" spans="1:39" x14ac:dyDescent="0.2">
      <c r="A575" t="s">
        <v>2279</v>
      </c>
      <c r="B575" s="9" t="s">
        <v>2272</v>
      </c>
      <c r="C575" s="66" t="s">
        <v>2280</v>
      </c>
      <c r="D575" s="20" t="s">
        <v>2281</v>
      </c>
      <c r="E575" t="s">
        <v>2282</v>
      </c>
      <c r="H575" s="4"/>
      <c r="I575" s="9"/>
      <c r="J575" s="9"/>
      <c r="K575" s="9"/>
      <c r="L575" s="6" t="s">
        <v>99</v>
      </c>
      <c r="M575" t="s">
        <v>207</v>
      </c>
      <c r="N575" s="6" t="s">
        <v>55</v>
      </c>
      <c r="O575" s="6" t="s">
        <v>208</v>
      </c>
      <c r="R575" s="7"/>
      <c r="S575" s="8"/>
      <c r="T575" s="3"/>
      <c r="U575" s="3"/>
      <c r="V575" s="3"/>
      <c r="W575" s="3"/>
      <c r="X575" s="8"/>
      <c r="Y575" s="3"/>
      <c r="Z575" s="14"/>
      <c r="AA575" s="3"/>
      <c r="AB575" s="3"/>
      <c r="AC575" s="3"/>
      <c r="AD575" s="14"/>
      <c r="AE575" s="3"/>
      <c r="AF575" s="14"/>
      <c r="AG575" s="14"/>
      <c r="AH575" s="8"/>
      <c r="AI575" s="3"/>
    </row>
    <row r="576" spans="1:39" x14ac:dyDescent="0.2">
      <c r="A576" s="31" t="s">
        <v>2285</v>
      </c>
      <c r="B576" s="31" t="s">
        <v>2272</v>
      </c>
      <c r="C576" s="69" t="s">
        <v>2284</v>
      </c>
      <c r="D576" s="69" t="s">
        <v>2286</v>
      </c>
      <c r="E576" s="31" t="s">
        <v>59</v>
      </c>
      <c r="F576" s="31"/>
      <c r="G576" s="31"/>
      <c r="H576" s="31" t="s">
        <v>2283</v>
      </c>
      <c r="I576" s="30"/>
      <c r="J576" s="30"/>
      <c r="K576" s="30"/>
      <c r="L576" s="7" t="s">
        <v>94</v>
      </c>
      <c r="M576" s="31" t="s">
        <v>207</v>
      </c>
      <c r="N576" s="7" t="s">
        <v>65</v>
      </c>
      <c r="O576" s="7">
        <v>1</v>
      </c>
      <c r="P576" s="31"/>
      <c r="Q576" s="7"/>
      <c r="R576" s="30"/>
      <c r="S576" s="46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46"/>
      <c r="AI576" s="31"/>
      <c r="AJ576" s="31"/>
      <c r="AK576" s="31"/>
      <c r="AL576" s="31"/>
      <c r="AM576" s="31"/>
    </row>
    <row r="577" spans="1:37" x14ac:dyDescent="0.2">
      <c r="A577" t="s">
        <v>2287</v>
      </c>
      <c r="B577" t="s">
        <v>2272</v>
      </c>
      <c r="C577" s="20" t="s">
        <v>2288</v>
      </c>
      <c r="D577" s="20" t="s">
        <v>2289</v>
      </c>
      <c r="E577" t="s">
        <v>2290</v>
      </c>
      <c r="H577" s="4"/>
      <c r="I577" s="9"/>
      <c r="J577" s="9"/>
      <c r="L577" s="5" t="s">
        <v>44</v>
      </c>
      <c r="M577" t="s">
        <v>64</v>
      </c>
      <c r="N577" s="6" t="s">
        <v>46</v>
      </c>
      <c r="O577" s="6">
        <v>1</v>
      </c>
      <c r="P577" s="6">
        <v>124</v>
      </c>
      <c r="R577" s="7"/>
    </row>
    <row r="578" spans="1:37" x14ac:dyDescent="0.2">
      <c r="A578" t="s">
        <v>2291</v>
      </c>
      <c r="B578" t="s">
        <v>2272</v>
      </c>
      <c r="C578" s="20" t="s">
        <v>2292</v>
      </c>
      <c r="D578" s="20" t="s">
        <v>2293</v>
      </c>
      <c r="E578" t="s">
        <v>59</v>
      </c>
      <c r="H578" s="4"/>
      <c r="I578" s="9"/>
      <c r="J578" s="9"/>
      <c r="L578" s="5" t="s">
        <v>81</v>
      </c>
      <c r="M578" t="s">
        <v>64</v>
      </c>
      <c r="N578" s="6" t="s">
        <v>46</v>
      </c>
      <c r="O578" s="6">
        <v>1</v>
      </c>
      <c r="P578" s="6" t="s">
        <v>2294</v>
      </c>
      <c r="Q578" s="6" t="s">
        <v>74</v>
      </c>
      <c r="R578" s="7"/>
      <c r="S578" s="8">
        <v>17.091878000000001</v>
      </c>
      <c r="T578" t="s">
        <v>95</v>
      </c>
      <c r="Z578" s="17">
        <v>0.266666666666667</v>
      </c>
      <c r="AA578">
        <v>3</v>
      </c>
      <c r="AF578" s="8">
        <v>1.47</v>
      </c>
      <c r="AG578" s="8">
        <v>1.4</v>
      </c>
    </row>
    <row r="579" spans="1:37" x14ac:dyDescent="0.2">
      <c r="A579" t="s">
        <v>2295</v>
      </c>
      <c r="B579" t="s">
        <v>2272</v>
      </c>
      <c r="C579" s="20" t="s">
        <v>2296</v>
      </c>
      <c r="D579" s="20" t="s">
        <v>2297</v>
      </c>
      <c r="E579" t="s">
        <v>2012</v>
      </c>
      <c r="I579" s="3"/>
      <c r="J579" s="3"/>
      <c r="K579" s="3"/>
      <c r="L579" s="6" t="s">
        <v>99</v>
      </c>
      <c r="M579" t="s">
        <v>64</v>
      </c>
      <c r="N579" s="6" t="s">
        <v>46</v>
      </c>
      <c r="O579" s="6">
        <v>1</v>
      </c>
      <c r="P579"/>
      <c r="R579" s="3"/>
      <c r="AH579" s="8">
        <v>0.44931193600000002</v>
      </c>
      <c r="AI579" t="s">
        <v>66</v>
      </c>
    </row>
    <row r="580" spans="1:37" x14ac:dyDescent="0.2">
      <c r="A580" t="s">
        <v>2298</v>
      </c>
      <c r="B580" t="s">
        <v>2272</v>
      </c>
      <c r="C580" s="20" t="s">
        <v>2296</v>
      </c>
      <c r="D580" s="20" t="s">
        <v>2299</v>
      </c>
      <c r="E580" t="s">
        <v>178</v>
      </c>
      <c r="F580">
        <v>1</v>
      </c>
      <c r="I580" s="3"/>
      <c r="J580" s="3"/>
      <c r="K580" s="3"/>
      <c r="L580" s="6" t="s">
        <v>99</v>
      </c>
      <c r="M580" t="s">
        <v>64</v>
      </c>
      <c r="N580" s="6" t="s">
        <v>46</v>
      </c>
      <c r="O580" s="6">
        <v>2</v>
      </c>
      <c r="P580"/>
      <c r="R580" s="3"/>
      <c r="AH580" s="8"/>
    </row>
    <row r="581" spans="1:37" x14ac:dyDescent="0.2">
      <c r="A581" t="s">
        <v>2300</v>
      </c>
      <c r="B581" t="s">
        <v>2272</v>
      </c>
      <c r="C581" s="20" t="s">
        <v>2301</v>
      </c>
      <c r="D581" s="20" t="s">
        <v>1264</v>
      </c>
      <c r="E581" t="s">
        <v>2302</v>
      </c>
      <c r="H581" s="4"/>
      <c r="I581" s="9"/>
      <c r="J581" s="9"/>
      <c r="K581" s="9" t="s">
        <v>2303</v>
      </c>
      <c r="L581" s="6" t="s">
        <v>99</v>
      </c>
      <c r="M581" t="s">
        <v>64</v>
      </c>
      <c r="N581" s="6" t="s">
        <v>65</v>
      </c>
      <c r="O581" s="6">
        <v>1</v>
      </c>
      <c r="P581"/>
      <c r="R581" s="7"/>
      <c r="AJ581" s="14"/>
      <c r="AK581" s="3"/>
    </row>
    <row r="582" spans="1:37" x14ac:dyDescent="0.2">
      <c r="A582" t="s">
        <v>2304</v>
      </c>
      <c r="B582" t="s">
        <v>2272</v>
      </c>
      <c r="C582" s="20" t="s">
        <v>2301</v>
      </c>
      <c r="D582" s="20" t="s">
        <v>597</v>
      </c>
      <c r="E582" t="s">
        <v>201</v>
      </c>
      <c r="H582" s="4"/>
      <c r="I582" s="9" t="s">
        <v>2305</v>
      </c>
      <c r="J582" s="9"/>
      <c r="K582" s="9"/>
      <c r="L582" s="6" t="s">
        <v>81</v>
      </c>
      <c r="M582" t="s">
        <v>64</v>
      </c>
      <c r="N582" s="6" t="s">
        <v>46</v>
      </c>
      <c r="O582" s="6">
        <v>1</v>
      </c>
      <c r="P582"/>
      <c r="R582" s="7"/>
      <c r="S582">
        <v>15.08295626</v>
      </c>
      <c r="T582" t="s">
        <v>414</v>
      </c>
      <c r="X582" s="8">
        <v>15.404</v>
      </c>
      <c r="Y582" t="s">
        <v>66</v>
      </c>
      <c r="AH582" s="8">
        <v>0.400020453</v>
      </c>
      <c r="AI582" t="s">
        <v>66</v>
      </c>
    </row>
    <row r="583" spans="1:37" x14ac:dyDescent="0.2">
      <c r="A583" t="s">
        <v>2306</v>
      </c>
      <c r="B583" t="s">
        <v>2272</v>
      </c>
      <c r="C583" s="20" t="s">
        <v>2307</v>
      </c>
      <c r="D583" s="20" t="s">
        <v>2308</v>
      </c>
      <c r="E583" t="s">
        <v>2309</v>
      </c>
      <c r="L583" s="5" t="s">
        <v>81</v>
      </c>
      <c r="M583" t="s">
        <v>64</v>
      </c>
      <c r="N583" s="6" t="s">
        <v>65</v>
      </c>
      <c r="O583" s="6">
        <v>1</v>
      </c>
      <c r="P583"/>
    </row>
    <row r="584" spans="1:37" x14ac:dyDescent="0.2">
      <c r="A584" t="s">
        <v>2310</v>
      </c>
      <c r="B584" t="s">
        <v>2272</v>
      </c>
      <c r="C584" s="20" t="s">
        <v>2307</v>
      </c>
      <c r="D584" s="20" t="s">
        <v>2311</v>
      </c>
      <c r="E584" t="s">
        <v>2312</v>
      </c>
      <c r="L584" s="5" t="s">
        <v>44</v>
      </c>
      <c r="M584" t="s">
        <v>64</v>
      </c>
      <c r="N584" s="6" t="s">
        <v>65</v>
      </c>
      <c r="O584" s="6">
        <v>1</v>
      </c>
      <c r="P584"/>
    </row>
    <row r="585" spans="1:37" x14ac:dyDescent="0.2">
      <c r="A585" s="48" t="s">
        <v>2764</v>
      </c>
      <c r="B585" s="48" t="s">
        <v>2272</v>
      </c>
      <c r="C585" s="67" t="s">
        <v>2313</v>
      </c>
      <c r="D585" s="67" t="s">
        <v>2314</v>
      </c>
      <c r="E585" s="48" t="s">
        <v>178</v>
      </c>
      <c r="F585" s="48">
        <v>1</v>
      </c>
      <c r="G585" s="48"/>
      <c r="H585" s="48"/>
      <c r="I585" s="48"/>
      <c r="J585" s="48"/>
      <c r="K585" s="48"/>
      <c r="L585" s="64" t="s">
        <v>99</v>
      </c>
      <c r="M585" s="48" t="s">
        <v>207</v>
      </c>
      <c r="N585" s="64" t="s">
        <v>65</v>
      </c>
      <c r="O585" s="64">
        <v>1</v>
      </c>
      <c r="P585"/>
    </row>
    <row r="586" spans="1:37" x14ac:dyDescent="0.2">
      <c r="A586" t="s">
        <v>2315</v>
      </c>
      <c r="B586" t="s">
        <v>2272</v>
      </c>
      <c r="C586" s="20" t="s">
        <v>2316</v>
      </c>
      <c r="D586" s="20" t="s">
        <v>2317</v>
      </c>
      <c r="E586" t="s">
        <v>2318</v>
      </c>
      <c r="L586" s="5" t="s">
        <v>44</v>
      </c>
      <c r="M586" t="s">
        <v>64</v>
      </c>
      <c r="N586" s="6" t="s">
        <v>65</v>
      </c>
      <c r="O586" s="6">
        <v>1</v>
      </c>
      <c r="P586"/>
    </row>
    <row r="587" spans="1:37" x14ac:dyDescent="0.2">
      <c r="A587" t="s">
        <v>2319</v>
      </c>
      <c r="B587" t="s">
        <v>2272</v>
      </c>
      <c r="C587" s="20" t="s">
        <v>2320</v>
      </c>
      <c r="D587" s="20" t="s">
        <v>2321</v>
      </c>
      <c r="E587" t="s">
        <v>2322</v>
      </c>
      <c r="H587" s="4"/>
      <c r="I587" s="9"/>
      <c r="J587" s="4"/>
      <c r="K587" s="9"/>
      <c r="L587" s="6" t="s">
        <v>94</v>
      </c>
      <c r="M587" t="s">
        <v>64</v>
      </c>
      <c r="N587" s="6" t="s">
        <v>65</v>
      </c>
      <c r="O587" s="6">
        <v>1</v>
      </c>
      <c r="P587"/>
      <c r="R587" s="7"/>
    </row>
    <row r="588" spans="1:37" x14ac:dyDescent="0.2">
      <c r="A588" t="s">
        <v>2323</v>
      </c>
      <c r="B588" t="s">
        <v>2272</v>
      </c>
      <c r="C588" s="20" t="s">
        <v>2320</v>
      </c>
      <c r="D588" s="20" t="s">
        <v>2324</v>
      </c>
      <c r="E588" t="s">
        <v>2325</v>
      </c>
      <c r="H588" s="4"/>
      <c r="I588" s="9" t="s">
        <v>2326</v>
      </c>
      <c r="J588" s="9"/>
      <c r="K588" s="9"/>
      <c r="L588" s="6" t="s">
        <v>94</v>
      </c>
      <c r="M588" t="s">
        <v>64</v>
      </c>
      <c r="N588" s="6" t="s">
        <v>55</v>
      </c>
      <c r="O588" s="6">
        <v>1</v>
      </c>
      <c r="P588" s="6">
        <v>46</v>
      </c>
      <c r="Q588" s="6" t="s">
        <v>74</v>
      </c>
      <c r="R588" s="7"/>
      <c r="S588" s="8">
        <v>12.840527</v>
      </c>
      <c r="T588" t="s">
        <v>95</v>
      </c>
      <c r="U588" s="18">
        <v>18.091796230292399</v>
      </c>
      <c r="V588" s="18">
        <v>57.541058822557403</v>
      </c>
      <c r="W588" s="18">
        <v>10</v>
      </c>
      <c r="X588" s="8">
        <v>24.643358800000001</v>
      </c>
      <c r="Y588" t="s">
        <v>88</v>
      </c>
      <c r="Z588" s="8">
        <v>7.7629999999999999</v>
      </c>
      <c r="AA588">
        <v>50</v>
      </c>
      <c r="AD588" s="17">
        <v>14.22</v>
      </c>
      <c r="AE588" s="18">
        <v>10</v>
      </c>
      <c r="AF588" s="17">
        <v>3.73</v>
      </c>
      <c r="AG588" s="17">
        <v>3.05</v>
      </c>
      <c r="AH588" s="8">
        <v>0.54</v>
      </c>
      <c r="AI588" t="s">
        <v>2327</v>
      </c>
      <c r="AJ588" s="17">
        <v>0.44042192493363402</v>
      </c>
      <c r="AK588">
        <v>5</v>
      </c>
    </row>
    <row r="589" spans="1:37" x14ac:dyDescent="0.2">
      <c r="A589" t="s">
        <v>2328</v>
      </c>
      <c r="B589" t="s">
        <v>2272</v>
      </c>
      <c r="C589" s="20" t="s">
        <v>2329</v>
      </c>
      <c r="D589" s="20" t="s">
        <v>738</v>
      </c>
      <c r="E589" t="s">
        <v>2330</v>
      </c>
      <c r="H589" t="s">
        <v>2331</v>
      </c>
      <c r="I589" s="3"/>
      <c r="J589" s="3"/>
      <c r="K589" s="3"/>
      <c r="L589" s="6" t="s">
        <v>99</v>
      </c>
      <c r="M589" t="s">
        <v>64</v>
      </c>
      <c r="N589" s="6" t="s">
        <v>65</v>
      </c>
      <c r="O589" s="6">
        <v>3</v>
      </c>
      <c r="P589"/>
      <c r="R589" s="3"/>
      <c r="S589">
        <v>12.366720580000001</v>
      </c>
      <c r="T589" t="s">
        <v>66</v>
      </c>
      <c r="X589">
        <v>196.489</v>
      </c>
      <c r="Y589" t="s">
        <v>66</v>
      </c>
      <c r="AH589" s="8">
        <v>0.57399999999999995</v>
      </c>
      <c r="AI589" t="s">
        <v>2332</v>
      </c>
    </row>
    <row r="590" spans="1:37" x14ac:dyDescent="0.2">
      <c r="A590" t="s">
        <v>2333</v>
      </c>
      <c r="B590" t="s">
        <v>2272</v>
      </c>
      <c r="C590" s="20" t="s">
        <v>2334</v>
      </c>
      <c r="D590" s="20" t="s">
        <v>2335</v>
      </c>
      <c r="E590" t="s">
        <v>487</v>
      </c>
      <c r="L590" s="5" t="s">
        <v>81</v>
      </c>
      <c r="M590" t="s">
        <v>64</v>
      </c>
      <c r="N590" s="6" t="s">
        <v>65</v>
      </c>
      <c r="O590" s="6">
        <v>1</v>
      </c>
      <c r="P590"/>
      <c r="S590">
        <v>29.259542620000001</v>
      </c>
      <c r="T590" t="s">
        <v>2336</v>
      </c>
    </row>
    <row r="591" spans="1:37" x14ac:dyDescent="0.2">
      <c r="A591" s="3" t="s">
        <v>2337</v>
      </c>
      <c r="B591" t="s">
        <v>2272</v>
      </c>
      <c r="C591" s="20" t="s">
        <v>2334</v>
      </c>
      <c r="D591" s="20" t="s">
        <v>2338</v>
      </c>
      <c r="E591" t="s">
        <v>2339</v>
      </c>
      <c r="I591" s="3"/>
      <c r="J591" s="3"/>
      <c r="L591" s="5" t="s">
        <v>81</v>
      </c>
      <c r="M591" t="s">
        <v>64</v>
      </c>
      <c r="N591" s="6" t="s">
        <v>65</v>
      </c>
      <c r="O591" s="6">
        <v>1</v>
      </c>
      <c r="R591" s="3"/>
      <c r="S591" s="8"/>
      <c r="T591" s="3"/>
      <c r="U591" s="3"/>
      <c r="V591" s="3"/>
      <c r="W591" s="3"/>
      <c r="X591" s="8"/>
      <c r="Y591" s="3"/>
      <c r="Z591" s="8"/>
      <c r="AA591" s="3"/>
      <c r="AB591" s="3"/>
      <c r="AC591" s="3"/>
      <c r="AD591" s="8"/>
      <c r="AE591" s="3"/>
      <c r="AF591" s="8"/>
      <c r="AG591" s="8"/>
      <c r="AH591" s="8"/>
      <c r="AI591" s="3"/>
      <c r="AJ591" s="8"/>
      <c r="AK591" s="3"/>
    </row>
    <row r="592" spans="1:37" x14ac:dyDescent="0.2">
      <c r="A592" t="s">
        <v>2340</v>
      </c>
      <c r="B592" t="s">
        <v>2272</v>
      </c>
      <c r="C592" s="20" t="s">
        <v>2334</v>
      </c>
      <c r="D592" s="20" t="s">
        <v>2341</v>
      </c>
      <c r="E592" t="s">
        <v>2342</v>
      </c>
      <c r="I592" s="3"/>
      <c r="J592" s="3"/>
      <c r="K592" s="3"/>
      <c r="L592" s="6" t="s">
        <v>94</v>
      </c>
      <c r="M592" t="s">
        <v>64</v>
      </c>
      <c r="N592" s="6" t="s">
        <v>65</v>
      </c>
      <c r="O592" s="6">
        <v>2</v>
      </c>
      <c r="P592"/>
      <c r="R592" s="3"/>
      <c r="S592">
        <v>19.687907689999999</v>
      </c>
      <c r="T592" t="s">
        <v>66</v>
      </c>
      <c r="X592">
        <v>9.3580000000000005</v>
      </c>
      <c r="Y592" t="s">
        <v>66</v>
      </c>
      <c r="AH592" s="8">
        <v>0.38189354599999997</v>
      </c>
      <c r="AI592" t="s">
        <v>66</v>
      </c>
    </row>
    <row r="593" spans="1:38" x14ac:dyDescent="0.2">
      <c r="A593" t="s">
        <v>2343</v>
      </c>
      <c r="B593" t="s">
        <v>2272</v>
      </c>
      <c r="C593" s="20" t="s">
        <v>2334</v>
      </c>
      <c r="D593" s="20" t="s">
        <v>2344</v>
      </c>
      <c r="E593" t="s">
        <v>2312</v>
      </c>
      <c r="H593" t="s">
        <v>2345</v>
      </c>
      <c r="I593" s="3"/>
      <c r="J593" s="3"/>
      <c r="K593" s="3"/>
      <c r="L593" s="6" t="s">
        <v>94</v>
      </c>
      <c r="M593" t="s">
        <v>64</v>
      </c>
      <c r="N593" s="6" t="s">
        <v>65</v>
      </c>
      <c r="O593" s="6">
        <v>2</v>
      </c>
      <c r="P593"/>
      <c r="R593" s="3"/>
      <c r="AH593" s="8"/>
    </row>
    <row r="594" spans="1:38" x14ac:dyDescent="0.2">
      <c r="A594" t="s">
        <v>2346</v>
      </c>
      <c r="B594" t="s">
        <v>2272</v>
      </c>
      <c r="C594" s="20" t="s">
        <v>2334</v>
      </c>
      <c r="D594" s="20" t="s">
        <v>2347</v>
      </c>
      <c r="E594" t="s">
        <v>2348</v>
      </c>
      <c r="I594" s="3"/>
      <c r="J594" s="3"/>
      <c r="K594" s="3"/>
      <c r="L594" s="5" t="s">
        <v>81</v>
      </c>
      <c r="M594" t="s">
        <v>64</v>
      </c>
      <c r="N594" s="6" t="s">
        <v>46</v>
      </c>
      <c r="O594" s="6">
        <v>2</v>
      </c>
      <c r="P594"/>
      <c r="Q594" s="6" t="s">
        <v>74</v>
      </c>
      <c r="R594" s="3"/>
      <c r="AH594" s="8"/>
    </row>
    <row r="595" spans="1:38" x14ac:dyDescent="0.2">
      <c r="A595" t="s">
        <v>2349</v>
      </c>
      <c r="B595" t="s">
        <v>2272</v>
      </c>
      <c r="C595" s="20" t="s">
        <v>2334</v>
      </c>
      <c r="D595" s="20" t="s">
        <v>1094</v>
      </c>
      <c r="E595" t="s">
        <v>690</v>
      </c>
      <c r="I595" s="3"/>
      <c r="J595" s="3"/>
      <c r="K595" s="3"/>
      <c r="L595" s="5" t="s">
        <v>81</v>
      </c>
      <c r="M595" t="s">
        <v>64</v>
      </c>
      <c r="N595" s="6" t="s">
        <v>46</v>
      </c>
      <c r="O595" s="6">
        <v>1</v>
      </c>
      <c r="P595"/>
      <c r="R595" s="3"/>
      <c r="AH595" s="8"/>
    </row>
    <row r="596" spans="1:38" x14ac:dyDescent="0.2">
      <c r="A596" t="s">
        <v>2350</v>
      </c>
      <c r="B596" t="s">
        <v>2272</v>
      </c>
      <c r="C596" s="20" t="s">
        <v>2334</v>
      </c>
      <c r="D596" s="20" t="s">
        <v>2351</v>
      </c>
      <c r="E596" t="s">
        <v>59</v>
      </c>
      <c r="L596" s="5" t="s">
        <v>81</v>
      </c>
      <c r="M596" t="s">
        <v>64</v>
      </c>
      <c r="N596" s="6" t="s">
        <v>65</v>
      </c>
      <c r="O596" s="6">
        <v>1</v>
      </c>
      <c r="P596"/>
    </row>
    <row r="597" spans="1:38" x14ac:dyDescent="0.2">
      <c r="A597" t="s">
        <v>2352</v>
      </c>
      <c r="B597" t="s">
        <v>2272</v>
      </c>
      <c r="C597" s="20" t="s">
        <v>2353</v>
      </c>
      <c r="D597" s="20" t="s">
        <v>2354</v>
      </c>
      <c r="E597" t="s">
        <v>85</v>
      </c>
      <c r="H597" s="4"/>
      <c r="I597" s="9" t="s">
        <v>2355</v>
      </c>
      <c r="J597" s="9" t="s">
        <v>2356</v>
      </c>
      <c r="K597" s="9"/>
      <c r="L597" s="5" t="s">
        <v>44</v>
      </c>
      <c r="M597" t="s">
        <v>54</v>
      </c>
      <c r="N597" s="6" t="s">
        <v>46</v>
      </c>
      <c r="O597" s="6">
        <v>1</v>
      </c>
      <c r="P597"/>
      <c r="R597" s="7"/>
      <c r="X597" s="8">
        <v>0.85654824363593995</v>
      </c>
      <c r="Y597" t="s">
        <v>88</v>
      </c>
      <c r="AJ597" s="14"/>
      <c r="AK597" s="3"/>
    </row>
    <row r="598" spans="1:38" x14ac:dyDescent="0.2">
      <c r="A598" t="s">
        <v>2357</v>
      </c>
      <c r="B598" t="s">
        <v>2272</v>
      </c>
      <c r="C598" s="20" t="s">
        <v>2358</v>
      </c>
      <c r="D598" s="20" t="s">
        <v>1789</v>
      </c>
      <c r="E598" t="s">
        <v>2359</v>
      </c>
      <c r="H598" s="4"/>
      <c r="I598" s="9"/>
      <c r="J598" s="9"/>
      <c r="K598" s="9" t="s">
        <v>2360</v>
      </c>
      <c r="L598" s="5" t="s">
        <v>63</v>
      </c>
      <c r="M598" t="s">
        <v>64</v>
      </c>
      <c r="N598" s="6" t="s">
        <v>46</v>
      </c>
      <c r="O598" s="6">
        <v>1</v>
      </c>
      <c r="P598"/>
      <c r="R598" s="7"/>
      <c r="S598">
        <v>17.877863000000001</v>
      </c>
      <c r="T598" t="s">
        <v>66</v>
      </c>
    </row>
    <row r="599" spans="1:38" x14ac:dyDescent="0.2">
      <c r="A599" t="s">
        <v>2361</v>
      </c>
      <c r="B599" t="s">
        <v>2272</v>
      </c>
      <c r="C599" s="20" t="s">
        <v>2362</v>
      </c>
      <c r="D599" s="20" t="s">
        <v>2363</v>
      </c>
      <c r="E599" t="s">
        <v>2364</v>
      </c>
      <c r="L599" s="5" t="s">
        <v>44</v>
      </c>
      <c r="M599" t="s">
        <v>54</v>
      </c>
      <c r="N599" s="6" t="s">
        <v>46</v>
      </c>
      <c r="O599" s="6">
        <v>1</v>
      </c>
      <c r="P599"/>
      <c r="Q599" s="6" t="s">
        <v>74</v>
      </c>
      <c r="Z599" s="8">
        <v>0</v>
      </c>
      <c r="AA599">
        <v>1</v>
      </c>
      <c r="AF599" s="8">
        <v>2</v>
      </c>
      <c r="AG599" s="8">
        <v>0.9</v>
      </c>
      <c r="AJ599" s="14"/>
      <c r="AK599" s="3"/>
      <c r="AL599" s="3"/>
    </row>
    <row r="600" spans="1:38" x14ac:dyDescent="0.2">
      <c r="A600" s="9" t="s">
        <v>2365</v>
      </c>
      <c r="B600" s="9" t="s">
        <v>2272</v>
      </c>
      <c r="C600" s="66" t="s">
        <v>2362</v>
      </c>
      <c r="D600" s="20" t="s">
        <v>2366</v>
      </c>
      <c r="E600" t="s">
        <v>1977</v>
      </c>
      <c r="H600" s="4" t="s">
        <v>2367</v>
      </c>
      <c r="I600" s="9" t="s">
        <v>2368</v>
      </c>
      <c r="J600" s="9"/>
      <c r="K600" s="9" t="s">
        <v>62</v>
      </c>
      <c r="L600" s="5" t="s">
        <v>44</v>
      </c>
      <c r="M600" t="s">
        <v>54</v>
      </c>
      <c r="N600" s="6" t="s">
        <v>46</v>
      </c>
      <c r="O600" s="6">
        <v>1</v>
      </c>
      <c r="P600"/>
      <c r="R600" s="7"/>
      <c r="AC600" t="s">
        <v>47</v>
      </c>
    </row>
    <row r="601" spans="1:38" x14ac:dyDescent="0.2">
      <c r="A601" t="s">
        <v>2369</v>
      </c>
      <c r="B601" t="s">
        <v>2272</v>
      </c>
      <c r="C601" s="20" t="s">
        <v>2362</v>
      </c>
      <c r="D601" s="20" t="s">
        <v>364</v>
      </c>
      <c r="E601" t="s">
        <v>188</v>
      </c>
      <c r="H601" s="9" t="s">
        <v>2370</v>
      </c>
      <c r="I601" s="9"/>
      <c r="J601" s="9"/>
      <c r="K601" s="9" t="s">
        <v>2371</v>
      </c>
      <c r="L601" s="5" t="s">
        <v>44</v>
      </c>
      <c r="M601" t="s">
        <v>54</v>
      </c>
      <c r="N601" s="6" t="s">
        <v>46</v>
      </c>
      <c r="O601" s="6">
        <v>1</v>
      </c>
      <c r="P601" s="6">
        <v>42</v>
      </c>
      <c r="R601" s="7"/>
    </row>
    <row r="602" spans="1:38" x14ac:dyDescent="0.2">
      <c r="A602" t="s">
        <v>2372</v>
      </c>
      <c r="B602" t="s">
        <v>2373</v>
      </c>
      <c r="C602" s="20" t="s">
        <v>2374</v>
      </c>
      <c r="D602" s="20" t="s">
        <v>2375</v>
      </c>
      <c r="E602" t="s">
        <v>2376</v>
      </c>
      <c r="F602">
        <v>1</v>
      </c>
      <c r="H602" s="9" t="s">
        <v>2756</v>
      </c>
      <c r="I602" s="9"/>
      <c r="J602" s="9"/>
      <c r="K602" s="9"/>
      <c r="L602" s="6" t="s">
        <v>99</v>
      </c>
      <c r="M602" t="s">
        <v>64</v>
      </c>
      <c r="N602" s="7" t="s">
        <v>208</v>
      </c>
      <c r="O602" s="6">
        <v>2</v>
      </c>
      <c r="R602" s="7"/>
    </row>
    <row r="603" spans="1:38" x14ac:dyDescent="0.2">
      <c r="A603" t="s">
        <v>2377</v>
      </c>
      <c r="B603" t="s">
        <v>2373</v>
      </c>
      <c r="C603" s="20" t="s">
        <v>2374</v>
      </c>
      <c r="D603" s="20" t="s">
        <v>2378</v>
      </c>
      <c r="E603" t="s">
        <v>2379</v>
      </c>
      <c r="H603" s="9" t="s">
        <v>2756</v>
      </c>
      <c r="I603" s="9"/>
      <c r="J603" s="9"/>
      <c r="K603" s="9" t="s">
        <v>2380</v>
      </c>
      <c r="L603" s="6" t="s">
        <v>99</v>
      </c>
      <c r="M603" t="s">
        <v>64</v>
      </c>
      <c r="N603" s="7" t="s">
        <v>208</v>
      </c>
      <c r="O603" s="6">
        <v>2</v>
      </c>
      <c r="P603"/>
      <c r="R603" s="7"/>
      <c r="S603">
        <v>10.6783824</v>
      </c>
      <c r="T603" t="s">
        <v>66</v>
      </c>
      <c r="AH603" s="8">
        <v>0.74</v>
      </c>
      <c r="AI603" t="s">
        <v>2381</v>
      </c>
    </row>
    <row r="604" spans="1:38" x14ac:dyDescent="0.2">
      <c r="A604" t="s">
        <v>2382</v>
      </c>
      <c r="B604" t="s">
        <v>2373</v>
      </c>
      <c r="C604" s="20" t="s">
        <v>2374</v>
      </c>
      <c r="D604" s="20" t="s">
        <v>364</v>
      </c>
      <c r="H604" s="9"/>
      <c r="I604" s="9"/>
      <c r="J604" s="9"/>
      <c r="K604" s="9"/>
      <c r="L604" s="6" t="s">
        <v>99</v>
      </c>
      <c r="M604" t="s">
        <v>64</v>
      </c>
      <c r="N604" s="7" t="s">
        <v>208</v>
      </c>
      <c r="O604" s="6">
        <v>1</v>
      </c>
      <c r="P604"/>
      <c r="R604" s="7"/>
      <c r="AH604" s="8"/>
    </row>
    <row r="605" spans="1:38" x14ac:dyDescent="0.2">
      <c r="A605" t="s">
        <v>2383</v>
      </c>
      <c r="B605" t="s">
        <v>2373</v>
      </c>
      <c r="C605" s="20" t="s">
        <v>2384</v>
      </c>
      <c r="D605" s="20" t="s">
        <v>2385</v>
      </c>
      <c r="E605" t="s">
        <v>2386</v>
      </c>
      <c r="I605" s="3"/>
      <c r="J605" s="3"/>
      <c r="K605" s="3"/>
      <c r="L605" s="6" t="s">
        <v>99</v>
      </c>
      <c r="M605" t="s">
        <v>54</v>
      </c>
      <c r="N605" s="6" t="s">
        <v>65</v>
      </c>
      <c r="O605" s="6">
        <v>1</v>
      </c>
      <c r="P605"/>
      <c r="R605" s="3"/>
      <c r="S605">
        <v>10.570070469999999</v>
      </c>
      <c r="T605" t="s">
        <v>66</v>
      </c>
      <c r="AH605" s="8">
        <v>0.58138329600000005</v>
      </c>
      <c r="AI605" t="s">
        <v>66</v>
      </c>
    </row>
    <row r="606" spans="1:38" x14ac:dyDescent="0.2">
      <c r="A606" t="s">
        <v>2387</v>
      </c>
      <c r="B606" t="s">
        <v>2388</v>
      </c>
      <c r="C606" s="20" t="s">
        <v>2389</v>
      </c>
      <c r="D606" s="20" t="s">
        <v>798</v>
      </c>
      <c r="E606" t="s">
        <v>1091</v>
      </c>
      <c r="I606" s="3"/>
      <c r="J606" s="3"/>
      <c r="K606" s="3"/>
      <c r="L606" s="6" t="s">
        <v>94</v>
      </c>
      <c r="M606" t="s">
        <v>64</v>
      </c>
      <c r="N606" s="6" t="s">
        <v>65</v>
      </c>
      <c r="O606" s="6">
        <v>2</v>
      </c>
      <c r="P606"/>
      <c r="R606" s="3"/>
    </row>
    <row r="607" spans="1:38" x14ac:dyDescent="0.2">
      <c r="A607" t="s">
        <v>2390</v>
      </c>
      <c r="B607" t="s">
        <v>2388</v>
      </c>
      <c r="C607" s="20" t="s">
        <v>2389</v>
      </c>
      <c r="D607" s="20" t="s">
        <v>1850</v>
      </c>
      <c r="E607" t="s">
        <v>2391</v>
      </c>
      <c r="I607" s="3"/>
      <c r="J607" s="3"/>
      <c r="L607" s="6" t="s">
        <v>99</v>
      </c>
      <c r="M607" t="s">
        <v>64</v>
      </c>
      <c r="N607" s="6" t="s">
        <v>65</v>
      </c>
      <c r="O607" s="6">
        <v>2</v>
      </c>
      <c r="P607"/>
      <c r="R607" s="3"/>
      <c r="AJ607" s="14"/>
      <c r="AK607" s="3"/>
    </row>
    <row r="608" spans="1:38" x14ac:dyDescent="0.2">
      <c r="A608" t="s">
        <v>2392</v>
      </c>
      <c r="B608" t="s">
        <v>2388</v>
      </c>
      <c r="C608" s="20" t="s">
        <v>2389</v>
      </c>
      <c r="D608" s="20" t="s">
        <v>2393</v>
      </c>
      <c r="E608" t="s">
        <v>2394</v>
      </c>
      <c r="L608" s="6" t="s">
        <v>94</v>
      </c>
      <c r="M608" t="s">
        <v>64</v>
      </c>
      <c r="N608" s="6" t="s">
        <v>65</v>
      </c>
      <c r="O608" s="6">
        <v>2</v>
      </c>
      <c r="P608"/>
      <c r="AJ608" s="14"/>
      <c r="AK608" s="3"/>
      <c r="AL608" s="3"/>
    </row>
    <row r="609" spans="1:38" x14ac:dyDescent="0.2">
      <c r="A609" t="s">
        <v>2395</v>
      </c>
      <c r="B609" t="s">
        <v>2396</v>
      </c>
      <c r="C609" s="20" t="s">
        <v>2397</v>
      </c>
      <c r="D609" s="20" t="s">
        <v>2398</v>
      </c>
      <c r="E609" t="s">
        <v>2399</v>
      </c>
      <c r="F609">
        <v>1</v>
      </c>
      <c r="L609" s="6" t="s">
        <v>99</v>
      </c>
      <c r="M609" t="s">
        <v>64</v>
      </c>
      <c r="N609" s="6" t="s">
        <v>65</v>
      </c>
      <c r="O609" s="6">
        <v>2</v>
      </c>
      <c r="P609"/>
      <c r="AJ609" s="14"/>
      <c r="AK609" s="3"/>
      <c r="AL609" s="3"/>
    </row>
    <row r="610" spans="1:38" x14ac:dyDescent="0.2">
      <c r="A610" t="s">
        <v>2400</v>
      </c>
      <c r="B610" t="s">
        <v>2396</v>
      </c>
      <c r="C610" s="20" t="s">
        <v>2397</v>
      </c>
      <c r="D610" s="20" t="s">
        <v>2401</v>
      </c>
      <c r="E610" t="s">
        <v>690</v>
      </c>
      <c r="I610" s="3"/>
      <c r="J610" s="3"/>
      <c r="K610" s="3"/>
      <c r="L610" s="6" t="s">
        <v>99</v>
      </c>
      <c r="M610" t="s">
        <v>64</v>
      </c>
      <c r="N610" s="6" t="s">
        <v>65</v>
      </c>
      <c r="O610" s="6">
        <v>1</v>
      </c>
      <c r="P610"/>
      <c r="R610" s="3"/>
      <c r="S610">
        <v>14.024713459999999</v>
      </c>
      <c r="T610" t="s">
        <v>2402</v>
      </c>
      <c r="AH610" s="8">
        <v>0.79</v>
      </c>
      <c r="AI610" t="s">
        <v>2403</v>
      </c>
      <c r="AJ610" s="14"/>
      <c r="AK610" s="3"/>
    </row>
    <row r="611" spans="1:38" x14ac:dyDescent="0.2">
      <c r="A611" t="s">
        <v>2404</v>
      </c>
      <c r="B611" t="s">
        <v>2396</v>
      </c>
      <c r="C611" s="20" t="s">
        <v>2397</v>
      </c>
      <c r="D611" s="20" t="s">
        <v>2405</v>
      </c>
      <c r="E611" t="s">
        <v>1070</v>
      </c>
      <c r="I611" s="3"/>
      <c r="J611" s="3"/>
      <c r="K611" s="3"/>
      <c r="L611" s="6" t="s">
        <v>99</v>
      </c>
      <c r="M611" t="s">
        <v>64</v>
      </c>
      <c r="N611" s="6" t="s">
        <v>65</v>
      </c>
      <c r="O611" s="6">
        <v>1</v>
      </c>
      <c r="P611"/>
      <c r="R611" s="3"/>
      <c r="AJ611" s="14"/>
      <c r="AK611" s="3"/>
    </row>
    <row r="612" spans="1:38" x14ac:dyDescent="0.2">
      <c r="A612" t="s">
        <v>2406</v>
      </c>
      <c r="B612" t="s">
        <v>2396</v>
      </c>
      <c r="C612" s="20" t="s">
        <v>2407</v>
      </c>
      <c r="D612" s="20" t="s">
        <v>2408</v>
      </c>
      <c r="E612" t="s">
        <v>134</v>
      </c>
      <c r="I612" s="3"/>
      <c r="J612" s="3"/>
      <c r="K612" s="3"/>
      <c r="L612" s="6" t="s">
        <v>99</v>
      </c>
      <c r="M612" t="s">
        <v>64</v>
      </c>
      <c r="N612" s="6" t="s">
        <v>55</v>
      </c>
      <c r="O612" s="6">
        <v>1</v>
      </c>
      <c r="P612"/>
      <c r="R612" s="3"/>
      <c r="S612">
        <v>19.264188520000001</v>
      </c>
      <c r="T612" t="s">
        <v>66</v>
      </c>
      <c r="X612">
        <v>14.313000000000001</v>
      </c>
      <c r="Y612" t="s">
        <v>66</v>
      </c>
      <c r="AH612" s="8">
        <v>0.54</v>
      </c>
      <c r="AI612" t="s">
        <v>2409</v>
      </c>
      <c r="AJ612" s="14"/>
      <c r="AK612" s="3"/>
    </row>
    <row r="613" spans="1:38" x14ac:dyDescent="0.2">
      <c r="A613" t="s">
        <v>2410</v>
      </c>
      <c r="B613" t="s">
        <v>2396</v>
      </c>
      <c r="C613" s="20" t="s">
        <v>2411</v>
      </c>
      <c r="D613" s="20" t="s">
        <v>150</v>
      </c>
      <c r="E613" t="s">
        <v>2412</v>
      </c>
      <c r="I613" s="3"/>
      <c r="J613" s="3"/>
      <c r="K613" s="3"/>
      <c r="L613" s="6" t="s">
        <v>94</v>
      </c>
      <c r="M613" t="s">
        <v>64</v>
      </c>
      <c r="N613" s="6" t="s">
        <v>65</v>
      </c>
      <c r="O613" s="6">
        <v>1</v>
      </c>
      <c r="P613"/>
      <c r="R613" s="3"/>
      <c r="S613">
        <v>18.02305102</v>
      </c>
      <c r="T613" t="s">
        <v>66</v>
      </c>
      <c r="AH613" s="8">
        <v>0.57999999999999996</v>
      </c>
      <c r="AI613" t="s">
        <v>2413</v>
      </c>
    </row>
    <row r="614" spans="1:38" x14ac:dyDescent="0.2">
      <c r="A614" t="s">
        <v>2414</v>
      </c>
      <c r="B614" t="s">
        <v>2396</v>
      </c>
      <c r="C614" s="20" t="s">
        <v>2415</v>
      </c>
      <c r="D614" s="20" t="s">
        <v>2416</v>
      </c>
      <c r="E614" t="s">
        <v>2417</v>
      </c>
      <c r="I614" s="3"/>
      <c r="J614" s="3"/>
      <c r="K614" s="3"/>
      <c r="L614" s="6" t="s">
        <v>99</v>
      </c>
      <c r="M614" t="s">
        <v>64</v>
      </c>
      <c r="N614" s="6" t="s">
        <v>65</v>
      </c>
      <c r="O614" s="6">
        <v>2</v>
      </c>
      <c r="P614"/>
      <c r="R614" s="3"/>
      <c r="S614">
        <v>10.08826672</v>
      </c>
      <c r="T614" t="s">
        <v>66</v>
      </c>
      <c r="AH614" s="8">
        <v>0.68</v>
      </c>
      <c r="AI614" t="s">
        <v>66</v>
      </c>
    </row>
    <row r="615" spans="1:38" x14ac:dyDescent="0.2">
      <c r="A615" t="s">
        <v>2418</v>
      </c>
      <c r="B615" t="s">
        <v>2396</v>
      </c>
      <c r="C615" s="20" t="s">
        <v>2419</v>
      </c>
      <c r="D615" s="20" t="s">
        <v>2420</v>
      </c>
      <c r="E615" t="s">
        <v>325</v>
      </c>
      <c r="I615" s="3"/>
      <c r="J615" s="3"/>
      <c r="L615" s="5" t="s">
        <v>99</v>
      </c>
      <c r="M615" t="s">
        <v>64</v>
      </c>
      <c r="N615" s="6" t="s">
        <v>65</v>
      </c>
      <c r="O615" s="6">
        <v>2</v>
      </c>
      <c r="P615"/>
      <c r="R615" s="3"/>
    </row>
    <row r="616" spans="1:38" x14ac:dyDescent="0.2">
      <c r="A616" t="s">
        <v>2421</v>
      </c>
      <c r="B616" t="s">
        <v>2396</v>
      </c>
      <c r="C616" s="20" t="s">
        <v>2419</v>
      </c>
      <c r="D616" s="20" t="s">
        <v>187</v>
      </c>
      <c r="E616" t="s">
        <v>188</v>
      </c>
      <c r="I616" s="3"/>
      <c r="J616" s="3"/>
      <c r="L616" s="5" t="s">
        <v>94</v>
      </c>
      <c r="M616" t="s">
        <v>64</v>
      </c>
      <c r="N616" s="6" t="s">
        <v>65</v>
      </c>
      <c r="O616" s="6">
        <v>1</v>
      </c>
      <c r="P616"/>
      <c r="R616" s="3"/>
    </row>
    <row r="617" spans="1:38" x14ac:dyDescent="0.2">
      <c r="A617" t="s">
        <v>2422</v>
      </c>
      <c r="B617" t="s">
        <v>2423</v>
      </c>
      <c r="C617" s="20" t="s">
        <v>2424</v>
      </c>
      <c r="D617" s="20" t="s">
        <v>2425</v>
      </c>
      <c r="E617" t="s">
        <v>2426</v>
      </c>
      <c r="I617" s="3"/>
      <c r="J617" s="3"/>
      <c r="L617" s="6" t="s">
        <v>81</v>
      </c>
      <c r="M617" t="s">
        <v>64</v>
      </c>
      <c r="N617" s="6" t="s">
        <v>55</v>
      </c>
      <c r="O617" s="6">
        <v>1</v>
      </c>
      <c r="P617"/>
      <c r="Q617" s="6" t="s">
        <v>74</v>
      </c>
      <c r="R617" s="3"/>
    </row>
    <row r="618" spans="1:38" x14ac:dyDescent="0.2">
      <c r="A618" t="s">
        <v>2427</v>
      </c>
      <c r="B618" t="s">
        <v>2428</v>
      </c>
      <c r="C618" s="20" t="s">
        <v>2429</v>
      </c>
      <c r="D618" s="20" t="s">
        <v>2430</v>
      </c>
      <c r="E618" t="s">
        <v>1764</v>
      </c>
      <c r="H618" s="9"/>
      <c r="I618" s="9" t="s">
        <v>2431</v>
      </c>
      <c r="J618" s="9" t="s">
        <v>2432</v>
      </c>
      <c r="L618" s="6" t="s">
        <v>99</v>
      </c>
      <c r="M618" t="s">
        <v>64</v>
      </c>
      <c r="N618" s="6" t="s">
        <v>55</v>
      </c>
      <c r="O618" s="6">
        <v>2</v>
      </c>
      <c r="P618" s="6">
        <v>166</v>
      </c>
      <c r="Q618" s="6" t="s">
        <v>74</v>
      </c>
      <c r="R618" s="3"/>
      <c r="S618">
        <v>26.423814119999999</v>
      </c>
      <c r="T618" t="s">
        <v>2433</v>
      </c>
      <c r="X618">
        <v>42.012</v>
      </c>
      <c r="Y618" t="s">
        <v>66</v>
      </c>
      <c r="AD618" s="8">
        <v>91.18</v>
      </c>
      <c r="AE618">
        <v>10</v>
      </c>
      <c r="AF618" s="8">
        <v>7.35</v>
      </c>
      <c r="AG618" s="8">
        <v>5.48</v>
      </c>
      <c r="AH618" s="8">
        <v>0.53916978400000004</v>
      </c>
      <c r="AI618" t="s">
        <v>2434</v>
      </c>
    </row>
    <row r="619" spans="1:38" x14ac:dyDescent="0.2">
      <c r="A619" t="s">
        <v>2435</v>
      </c>
      <c r="B619" t="s">
        <v>2428</v>
      </c>
      <c r="C619" s="20" t="s">
        <v>2436</v>
      </c>
      <c r="D619" s="20" t="s">
        <v>2437</v>
      </c>
      <c r="E619" t="s">
        <v>2438</v>
      </c>
      <c r="L619" s="6" t="s">
        <v>99</v>
      </c>
      <c r="M619" t="s">
        <v>54</v>
      </c>
      <c r="N619" s="6" t="s">
        <v>65</v>
      </c>
      <c r="O619" s="6">
        <v>4</v>
      </c>
      <c r="P619"/>
      <c r="AJ619" s="14"/>
      <c r="AK619" s="3"/>
    </row>
    <row r="620" spans="1:38" x14ac:dyDescent="0.2">
      <c r="A620" t="s">
        <v>2439</v>
      </c>
      <c r="B620" t="s">
        <v>2428</v>
      </c>
      <c r="C620" s="20" t="s">
        <v>2440</v>
      </c>
      <c r="D620" s="20" t="s">
        <v>2441</v>
      </c>
      <c r="E620" t="s">
        <v>2442</v>
      </c>
      <c r="I620" s="3"/>
      <c r="J620" s="3"/>
      <c r="K620" s="3"/>
      <c r="L620" s="6" t="s">
        <v>94</v>
      </c>
      <c r="M620" t="s">
        <v>64</v>
      </c>
      <c r="N620" s="6" t="s">
        <v>65</v>
      </c>
      <c r="O620" s="6">
        <v>2</v>
      </c>
      <c r="P620"/>
      <c r="R620" s="3"/>
      <c r="S620">
        <v>11.25394125</v>
      </c>
      <c r="T620" t="s">
        <v>2443</v>
      </c>
      <c r="AH620" s="8">
        <v>0.53653846100000002</v>
      </c>
      <c r="AI620" t="s">
        <v>414</v>
      </c>
    </row>
    <row r="621" spans="1:38" x14ac:dyDescent="0.2">
      <c r="A621" t="s">
        <v>2444</v>
      </c>
      <c r="B621" t="s">
        <v>2428</v>
      </c>
      <c r="C621" s="20" t="s">
        <v>2440</v>
      </c>
      <c r="D621" s="20" t="s">
        <v>1643</v>
      </c>
      <c r="E621" t="s">
        <v>169</v>
      </c>
      <c r="I621" s="3"/>
      <c r="J621" s="3"/>
      <c r="K621" s="3"/>
      <c r="L621" s="6" t="s">
        <v>99</v>
      </c>
      <c r="M621" t="s">
        <v>64</v>
      </c>
      <c r="N621" s="6" t="s">
        <v>65</v>
      </c>
      <c r="O621" s="6">
        <v>2</v>
      </c>
      <c r="P621"/>
      <c r="Q621" s="6" t="s">
        <v>74</v>
      </c>
      <c r="R621" s="3"/>
      <c r="S621">
        <v>11.774028149999999</v>
      </c>
      <c r="T621" t="s">
        <v>66</v>
      </c>
      <c r="X621">
        <v>227.6952</v>
      </c>
      <c r="Y621" t="s">
        <v>1633</v>
      </c>
      <c r="AH621" s="8">
        <v>0.61032643399999997</v>
      </c>
      <c r="AI621" t="s">
        <v>66</v>
      </c>
    </row>
    <row r="622" spans="1:38" x14ac:dyDescent="0.2">
      <c r="A622" t="s">
        <v>2445</v>
      </c>
      <c r="B622" t="s">
        <v>2428</v>
      </c>
      <c r="C622" s="20" t="s">
        <v>2440</v>
      </c>
      <c r="D622" s="20" t="s">
        <v>364</v>
      </c>
      <c r="I622" s="3"/>
      <c r="J622" s="3"/>
      <c r="K622" s="3"/>
      <c r="L622" s="6"/>
      <c r="M622" t="s">
        <v>64</v>
      </c>
      <c r="N622" s="6" t="s">
        <v>65</v>
      </c>
      <c r="O622" s="6">
        <v>2</v>
      </c>
      <c r="P622"/>
      <c r="R622" s="3"/>
      <c r="AH622" s="8"/>
    </row>
    <row r="623" spans="1:38" x14ac:dyDescent="0.2">
      <c r="A623" s="55" t="s">
        <v>2765</v>
      </c>
      <c r="B623" s="55" t="s">
        <v>2428</v>
      </c>
      <c r="C623" s="73" t="s">
        <v>2766</v>
      </c>
      <c r="D623" s="73" t="s">
        <v>2767</v>
      </c>
      <c r="E623" s="55" t="s">
        <v>138</v>
      </c>
      <c r="F623" s="55"/>
      <c r="G623" s="55"/>
      <c r="H623" s="55"/>
      <c r="I623" s="60" t="s">
        <v>2768</v>
      </c>
      <c r="J623" s="56"/>
      <c r="K623" s="56"/>
      <c r="L623" s="59" t="s">
        <v>99</v>
      </c>
      <c r="M623" s="55" t="s">
        <v>64</v>
      </c>
      <c r="N623" s="59" t="s">
        <v>46</v>
      </c>
      <c r="O623" s="59">
        <v>3</v>
      </c>
      <c r="P623"/>
      <c r="R623" s="3"/>
      <c r="AH623" s="8"/>
    </row>
    <row r="624" spans="1:38" x14ac:dyDescent="0.2">
      <c r="A624" t="s">
        <v>2446</v>
      </c>
      <c r="B624" t="s">
        <v>2428</v>
      </c>
      <c r="C624" s="20" t="s">
        <v>2447</v>
      </c>
      <c r="D624" s="20" t="s">
        <v>2448</v>
      </c>
      <c r="E624" t="s">
        <v>2449</v>
      </c>
      <c r="H624" s="4"/>
      <c r="I624" s="9"/>
      <c r="J624" s="9"/>
      <c r="K624" s="9"/>
      <c r="L624" s="5" t="s">
        <v>117</v>
      </c>
      <c r="M624" t="s">
        <v>64</v>
      </c>
      <c r="N624" s="6" t="s">
        <v>65</v>
      </c>
      <c r="O624" s="6">
        <v>2</v>
      </c>
      <c r="P624"/>
      <c r="Q624" s="6" t="s">
        <v>74</v>
      </c>
      <c r="R624" s="7"/>
      <c r="S624" s="8"/>
      <c r="U624" s="18"/>
      <c r="V624" s="18"/>
      <c r="W624" s="18"/>
      <c r="X624" s="8"/>
      <c r="AD624" s="17"/>
      <c r="AE624" s="18"/>
      <c r="AF624" s="17"/>
      <c r="AG624" s="17"/>
      <c r="AH624" s="8"/>
      <c r="AJ624" s="17"/>
    </row>
    <row r="625" spans="1:38" x14ac:dyDescent="0.2">
      <c r="A625" t="s">
        <v>2450</v>
      </c>
      <c r="B625" t="s">
        <v>2428</v>
      </c>
      <c r="C625" s="20" t="s">
        <v>2447</v>
      </c>
      <c r="D625" s="20" t="s">
        <v>2451</v>
      </c>
      <c r="E625" t="s">
        <v>1764</v>
      </c>
      <c r="L625" s="5" t="s">
        <v>117</v>
      </c>
      <c r="M625" t="s">
        <v>54</v>
      </c>
      <c r="N625" s="6" t="s">
        <v>65</v>
      </c>
      <c r="O625" s="6">
        <v>3</v>
      </c>
      <c r="P625"/>
      <c r="Q625" s="6" t="s">
        <v>74</v>
      </c>
      <c r="S625">
        <v>15.180197720000001</v>
      </c>
      <c r="T625" t="s">
        <v>66</v>
      </c>
      <c r="X625">
        <v>190.92699999999999</v>
      </c>
      <c r="Y625" t="s">
        <v>66</v>
      </c>
      <c r="AH625" s="8">
        <v>0.48382403000000002</v>
      </c>
      <c r="AI625" t="s">
        <v>66</v>
      </c>
    </row>
    <row r="626" spans="1:38" x14ac:dyDescent="0.2">
      <c r="A626" t="s">
        <v>2452</v>
      </c>
      <c r="B626" t="s">
        <v>2428</v>
      </c>
      <c r="C626" s="20" t="s">
        <v>2447</v>
      </c>
      <c r="D626" s="20" t="s">
        <v>2453</v>
      </c>
      <c r="E626" t="s">
        <v>2454</v>
      </c>
      <c r="H626" t="s">
        <v>2455</v>
      </c>
      <c r="I626" t="s">
        <v>2456</v>
      </c>
      <c r="K626" t="s">
        <v>62</v>
      </c>
      <c r="L626" s="5" t="s">
        <v>117</v>
      </c>
      <c r="M626" t="s">
        <v>54</v>
      </c>
      <c r="N626" s="6" t="s">
        <v>65</v>
      </c>
      <c r="O626" s="6">
        <v>2</v>
      </c>
      <c r="Q626" s="6" t="s">
        <v>74</v>
      </c>
      <c r="S626" s="8"/>
      <c r="X626" s="8"/>
      <c r="Z626" s="8"/>
      <c r="AD626" s="8"/>
      <c r="AF626" s="8"/>
      <c r="AG626" s="8"/>
      <c r="AH626" s="8"/>
      <c r="AJ626" s="8"/>
    </row>
    <row r="627" spans="1:38" x14ac:dyDescent="0.2">
      <c r="A627" t="s">
        <v>2457</v>
      </c>
      <c r="B627" t="s">
        <v>2428</v>
      </c>
      <c r="C627" s="20" t="s">
        <v>2447</v>
      </c>
      <c r="D627" s="20" t="s">
        <v>364</v>
      </c>
      <c r="L627" s="5" t="s">
        <v>117</v>
      </c>
      <c r="M627" t="s">
        <v>54</v>
      </c>
      <c r="N627" s="6" t="s">
        <v>65</v>
      </c>
      <c r="O627" s="6" t="s">
        <v>208</v>
      </c>
      <c r="S627" s="8"/>
      <c r="X627" s="8"/>
      <c r="Z627" s="8"/>
      <c r="AD627" s="8"/>
      <c r="AF627" s="8"/>
      <c r="AG627" s="8"/>
      <c r="AH627" s="8"/>
      <c r="AJ627" s="8"/>
    </row>
    <row r="628" spans="1:38" x14ac:dyDescent="0.2">
      <c r="A628" t="s">
        <v>2458</v>
      </c>
      <c r="B628" t="s">
        <v>2428</v>
      </c>
      <c r="C628" s="20" t="s">
        <v>2459</v>
      </c>
      <c r="D628" s="20" t="s">
        <v>1869</v>
      </c>
      <c r="E628" t="s">
        <v>2165</v>
      </c>
      <c r="I628" s="3"/>
      <c r="J628" s="3"/>
      <c r="L628" s="5" t="s">
        <v>117</v>
      </c>
      <c r="M628" t="s">
        <v>207</v>
      </c>
      <c r="N628" s="6" t="s">
        <v>65</v>
      </c>
      <c r="O628" s="6">
        <v>3</v>
      </c>
      <c r="P628"/>
      <c r="Q628" s="6" t="s">
        <v>74</v>
      </c>
      <c r="R628" s="3"/>
    </row>
    <row r="629" spans="1:38" x14ac:dyDescent="0.2">
      <c r="A629" t="s">
        <v>2460</v>
      </c>
      <c r="B629" t="s">
        <v>2428</v>
      </c>
      <c r="C629" s="20" t="s">
        <v>2459</v>
      </c>
      <c r="D629" s="20" t="s">
        <v>187</v>
      </c>
      <c r="E629" t="s">
        <v>188</v>
      </c>
      <c r="I629" s="3"/>
      <c r="J629" s="3"/>
      <c r="L629" s="5" t="s">
        <v>63</v>
      </c>
      <c r="M629" t="s">
        <v>207</v>
      </c>
      <c r="N629" s="6" t="s">
        <v>65</v>
      </c>
      <c r="O629" s="6" t="s">
        <v>208</v>
      </c>
      <c r="P629"/>
      <c r="R629" s="3"/>
    </row>
    <row r="630" spans="1:38" x14ac:dyDescent="0.2">
      <c r="A630" t="s">
        <v>2461</v>
      </c>
      <c r="B630" t="s">
        <v>2462</v>
      </c>
      <c r="C630" s="20" t="s">
        <v>2463</v>
      </c>
      <c r="D630" s="20" t="s">
        <v>2464</v>
      </c>
      <c r="E630" t="s">
        <v>2465</v>
      </c>
      <c r="F630">
        <v>1</v>
      </c>
      <c r="H630" s="25" t="s">
        <v>2750</v>
      </c>
      <c r="I630" s="3"/>
      <c r="J630" s="3"/>
      <c r="L630" s="6" t="s">
        <v>99</v>
      </c>
      <c r="M630" t="s">
        <v>64</v>
      </c>
      <c r="N630" s="6" t="s">
        <v>65</v>
      </c>
      <c r="O630" s="6">
        <v>2</v>
      </c>
      <c r="P630"/>
      <c r="R630" s="3"/>
    </row>
    <row r="631" spans="1:38" x14ac:dyDescent="0.2">
      <c r="A631" t="s">
        <v>2798</v>
      </c>
      <c r="B631" t="s">
        <v>2462</v>
      </c>
      <c r="C631" s="74" t="s">
        <v>2466</v>
      </c>
      <c r="D631" s="20" t="s">
        <v>2797</v>
      </c>
      <c r="E631" t="s">
        <v>188</v>
      </c>
      <c r="H631" t="s">
        <v>2467</v>
      </c>
      <c r="L631" s="6" t="s">
        <v>99</v>
      </c>
      <c r="M631" t="s">
        <v>64</v>
      </c>
      <c r="N631" s="6" t="s">
        <v>65</v>
      </c>
      <c r="O631" s="6">
        <v>2</v>
      </c>
      <c r="P631"/>
    </row>
    <row r="632" spans="1:38" x14ac:dyDescent="0.2">
      <c r="A632" t="s">
        <v>2468</v>
      </c>
      <c r="B632" t="s">
        <v>2462</v>
      </c>
      <c r="C632" s="20" t="s">
        <v>2469</v>
      </c>
      <c r="D632" s="20" t="s">
        <v>2470</v>
      </c>
      <c r="E632" t="s">
        <v>1142</v>
      </c>
      <c r="L632" s="6" t="s">
        <v>99</v>
      </c>
      <c r="M632" t="s">
        <v>64</v>
      </c>
      <c r="N632" s="6" t="s">
        <v>65</v>
      </c>
      <c r="O632" s="6">
        <v>2</v>
      </c>
      <c r="P632"/>
      <c r="AH632" s="8">
        <v>0.93</v>
      </c>
      <c r="AI632" t="s">
        <v>66</v>
      </c>
    </row>
    <row r="633" spans="1:38" x14ac:dyDescent="0.2">
      <c r="A633" t="s">
        <v>2471</v>
      </c>
      <c r="B633" t="s">
        <v>2472</v>
      </c>
      <c r="C633" s="20" t="s">
        <v>2473</v>
      </c>
      <c r="D633" s="20" t="s">
        <v>364</v>
      </c>
      <c r="E633" t="s">
        <v>188</v>
      </c>
      <c r="H633" s="9"/>
      <c r="I633" s="9" t="s">
        <v>2474</v>
      </c>
      <c r="J633" s="9" t="s">
        <v>2475</v>
      </c>
      <c r="K633" s="9" t="s">
        <v>2476</v>
      </c>
      <c r="L633" s="5" t="s">
        <v>44</v>
      </c>
      <c r="M633" s="9" t="s">
        <v>207</v>
      </c>
      <c r="N633" s="7" t="s">
        <v>55</v>
      </c>
      <c r="O633" s="6" t="s">
        <v>208</v>
      </c>
      <c r="P633"/>
      <c r="R633" s="7"/>
    </row>
    <row r="634" spans="1:38" x14ac:dyDescent="0.2">
      <c r="A634" t="s">
        <v>2477</v>
      </c>
      <c r="B634" t="s">
        <v>2478</v>
      </c>
      <c r="C634" s="20" t="s">
        <v>2479</v>
      </c>
      <c r="D634" s="20" t="s">
        <v>2480</v>
      </c>
      <c r="E634" t="s">
        <v>2481</v>
      </c>
      <c r="H634" s="9" t="s">
        <v>2482</v>
      </c>
      <c r="I634" s="13" t="s">
        <v>2483</v>
      </c>
      <c r="J634" s="9"/>
      <c r="K634" s="9" t="s">
        <v>1095</v>
      </c>
      <c r="L634" s="6" t="s">
        <v>81</v>
      </c>
      <c r="M634" t="s">
        <v>64</v>
      </c>
      <c r="N634" s="6" t="s">
        <v>55</v>
      </c>
      <c r="O634" s="6">
        <v>1</v>
      </c>
      <c r="P634"/>
      <c r="Q634" s="6" t="s">
        <v>74</v>
      </c>
      <c r="R634" s="7"/>
      <c r="Z634" s="17">
        <v>13.9333333333333</v>
      </c>
      <c r="AA634">
        <v>3</v>
      </c>
      <c r="AF634" s="8">
        <v>5.07</v>
      </c>
      <c r="AG634" s="8">
        <v>2.87</v>
      </c>
    </row>
    <row r="635" spans="1:38" x14ac:dyDescent="0.2">
      <c r="A635" t="s">
        <v>2484</v>
      </c>
      <c r="B635" s="9" t="s">
        <v>2478</v>
      </c>
      <c r="C635" s="66" t="s">
        <v>2479</v>
      </c>
      <c r="D635" s="20" t="s">
        <v>2485</v>
      </c>
      <c r="E635" t="s">
        <v>2486</v>
      </c>
      <c r="H635" s="9"/>
      <c r="I635" s="9" t="s">
        <v>2487</v>
      </c>
      <c r="J635" s="9"/>
      <c r="K635" s="9"/>
      <c r="L635" s="6" t="s">
        <v>81</v>
      </c>
      <c r="M635" t="s">
        <v>64</v>
      </c>
      <c r="N635" s="6" t="s">
        <v>55</v>
      </c>
      <c r="O635" s="6">
        <v>1</v>
      </c>
      <c r="P635" s="7">
        <v>31</v>
      </c>
      <c r="Q635" s="7"/>
      <c r="R635" s="7"/>
      <c r="S635">
        <v>18.013442609999998</v>
      </c>
      <c r="T635" t="s">
        <v>66</v>
      </c>
      <c r="U635" s="3"/>
      <c r="V635" s="3"/>
      <c r="W635" s="3"/>
      <c r="X635" s="8"/>
      <c r="Y635" s="3"/>
      <c r="Z635" s="14"/>
      <c r="AA635" s="3"/>
      <c r="AB635" s="3"/>
      <c r="AC635" s="3"/>
      <c r="AD635" s="14"/>
      <c r="AE635" s="3"/>
      <c r="AF635" s="14"/>
      <c r="AG635" s="14"/>
      <c r="AH635" s="8">
        <v>0.462700681</v>
      </c>
      <c r="AI635" s="3" t="s">
        <v>66</v>
      </c>
    </row>
    <row r="636" spans="1:38" x14ac:dyDescent="0.2">
      <c r="A636" t="s">
        <v>2488</v>
      </c>
      <c r="B636" t="s">
        <v>2478</v>
      </c>
      <c r="C636" s="20" t="s">
        <v>2479</v>
      </c>
      <c r="D636" s="20" t="s">
        <v>187</v>
      </c>
      <c r="E636" t="s">
        <v>188</v>
      </c>
      <c r="I636" s="3"/>
      <c r="J636" s="3"/>
      <c r="L636" s="6" t="s">
        <v>81</v>
      </c>
      <c r="M636" t="s">
        <v>64</v>
      </c>
      <c r="N636" s="6" t="s">
        <v>55</v>
      </c>
      <c r="O636" s="6">
        <v>1</v>
      </c>
      <c r="R636" s="3"/>
      <c r="AL636" s="3"/>
    </row>
    <row r="637" spans="1:38" x14ac:dyDescent="0.2">
      <c r="A637" t="s">
        <v>2489</v>
      </c>
      <c r="B637" s="9" t="s">
        <v>2490</v>
      </c>
      <c r="C637" s="69" t="s">
        <v>2491</v>
      </c>
      <c r="D637" s="20" t="s">
        <v>2492</v>
      </c>
      <c r="E637" t="s">
        <v>1166</v>
      </c>
      <c r="H637" s="9"/>
      <c r="I637" s="9"/>
      <c r="J637" s="9"/>
      <c r="K637" s="9"/>
      <c r="L637" s="5" t="s">
        <v>117</v>
      </c>
      <c r="M637" t="s">
        <v>64</v>
      </c>
      <c r="N637" s="6" t="s">
        <v>55</v>
      </c>
      <c r="O637" s="6">
        <v>2</v>
      </c>
      <c r="P637" s="7">
        <v>140</v>
      </c>
      <c r="Q637" s="7" t="s">
        <v>74</v>
      </c>
      <c r="R637" s="7"/>
      <c r="Z637" s="8">
        <v>71.912500000000009</v>
      </c>
      <c r="AA637">
        <v>8</v>
      </c>
      <c r="AF637">
        <v>5.5750000000000002</v>
      </c>
      <c r="AG637">
        <v>4.4630000000000001</v>
      </c>
    </row>
    <row r="638" spans="1:38" x14ac:dyDescent="0.2">
      <c r="A638" t="s">
        <v>2493</v>
      </c>
      <c r="B638" t="s">
        <v>2490</v>
      </c>
      <c r="C638" s="20" t="s">
        <v>2491</v>
      </c>
      <c r="D638" s="20" t="s">
        <v>2494</v>
      </c>
      <c r="E638" t="s">
        <v>2495</v>
      </c>
      <c r="L638" s="5" t="s">
        <v>117</v>
      </c>
      <c r="M638" t="s">
        <v>64</v>
      </c>
      <c r="N638" s="6" t="s">
        <v>65</v>
      </c>
      <c r="O638" s="6">
        <v>2</v>
      </c>
      <c r="P638"/>
      <c r="X638">
        <v>29.08</v>
      </c>
      <c r="Y638" t="s">
        <v>66</v>
      </c>
    </row>
    <row r="639" spans="1:38" x14ac:dyDescent="0.2">
      <c r="A639" t="s">
        <v>2496</v>
      </c>
      <c r="B639" t="s">
        <v>2490</v>
      </c>
      <c r="C639" s="20" t="s">
        <v>2491</v>
      </c>
      <c r="D639" s="20" t="s">
        <v>2497</v>
      </c>
      <c r="E639" t="s">
        <v>1455</v>
      </c>
      <c r="L639" s="5" t="s">
        <v>117</v>
      </c>
      <c r="M639" t="s">
        <v>64</v>
      </c>
      <c r="N639" s="6" t="s">
        <v>65</v>
      </c>
      <c r="O639" s="6">
        <v>2</v>
      </c>
      <c r="P639"/>
    </row>
    <row r="640" spans="1:38" x14ac:dyDescent="0.2">
      <c r="A640" t="s">
        <v>2498</v>
      </c>
      <c r="B640" t="s">
        <v>2499</v>
      </c>
      <c r="C640" s="20" t="s">
        <v>2500</v>
      </c>
      <c r="D640" s="20" t="s">
        <v>603</v>
      </c>
      <c r="E640" t="s">
        <v>85</v>
      </c>
      <c r="H640" s="9"/>
      <c r="I640" s="9" t="s">
        <v>2501</v>
      </c>
      <c r="J640" s="9"/>
      <c r="K640" s="9"/>
      <c r="L640" s="6" t="s">
        <v>94</v>
      </c>
      <c r="M640" t="s">
        <v>64</v>
      </c>
      <c r="N640" s="6" t="s">
        <v>46</v>
      </c>
      <c r="O640" s="6">
        <v>1</v>
      </c>
      <c r="P640" s="6">
        <v>43</v>
      </c>
      <c r="Q640" s="6" t="s">
        <v>74</v>
      </c>
      <c r="R640" s="7"/>
      <c r="Z640" s="8">
        <v>0.53500000000000003</v>
      </c>
      <c r="AA640">
        <v>40</v>
      </c>
      <c r="AF640" s="8">
        <v>1.54</v>
      </c>
      <c r="AG640" s="8">
        <v>1.31</v>
      </c>
      <c r="AI640" t="s">
        <v>1672</v>
      </c>
      <c r="AL640" s="3"/>
    </row>
    <row r="641" spans="1:39" x14ac:dyDescent="0.2">
      <c r="A641" t="s">
        <v>2502</v>
      </c>
      <c r="B641" t="s">
        <v>2499</v>
      </c>
      <c r="C641" s="20" t="s">
        <v>2503</v>
      </c>
      <c r="D641" s="20" t="s">
        <v>2504</v>
      </c>
      <c r="E641" t="s">
        <v>2505</v>
      </c>
      <c r="F641">
        <v>1</v>
      </c>
      <c r="H641" s="9"/>
      <c r="I641" s="9"/>
      <c r="J641" s="9"/>
      <c r="K641" s="9"/>
      <c r="L641" s="6" t="s">
        <v>94</v>
      </c>
      <c r="M641" t="s">
        <v>64</v>
      </c>
      <c r="N641" s="6" t="s">
        <v>55</v>
      </c>
      <c r="O641" s="6">
        <v>1</v>
      </c>
      <c r="R641" s="7"/>
      <c r="Z641" s="8"/>
      <c r="AF641" s="8"/>
      <c r="AG641" s="8"/>
      <c r="AL641" s="3"/>
    </row>
    <row r="642" spans="1:39" x14ac:dyDescent="0.2">
      <c r="A642" t="s">
        <v>2506</v>
      </c>
      <c r="B642" t="s">
        <v>2499</v>
      </c>
      <c r="C642" s="20" t="s">
        <v>2503</v>
      </c>
      <c r="D642" s="20" t="s">
        <v>2507</v>
      </c>
      <c r="E642" t="s">
        <v>2505</v>
      </c>
      <c r="L642" s="6" t="s">
        <v>99</v>
      </c>
      <c r="M642" t="s">
        <v>64</v>
      </c>
      <c r="N642" s="6" t="s">
        <v>65</v>
      </c>
      <c r="O642" s="6">
        <v>1</v>
      </c>
      <c r="P642"/>
    </row>
    <row r="643" spans="1:39" x14ac:dyDescent="0.2">
      <c r="A643" t="s">
        <v>2508</v>
      </c>
      <c r="B643" t="s">
        <v>2499</v>
      </c>
      <c r="C643" s="20" t="s">
        <v>2503</v>
      </c>
      <c r="D643" s="20" t="s">
        <v>2509</v>
      </c>
      <c r="E643" t="s">
        <v>516</v>
      </c>
      <c r="H643" s="9"/>
      <c r="I643" s="9"/>
      <c r="J643" s="9"/>
      <c r="K643" s="9" t="s">
        <v>1255</v>
      </c>
      <c r="L643" s="6" t="s">
        <v>94</v>
      </c>
      <c r="M643" t="s">
        <v>64</v>
      </c>
      <c r="N643" s="6" t="s">
        <v>55</v>
      </c>
      <c r="O643" s="6">
        <v>1</v>
      </c>
      <c r="R643" s="7"/>
      <c r="AD643" s="17">
        <v>11.11</v>
      </c>
      <c r="AE643" s="18">
        <v>10</v>
      </c>
      <c r="AF643" s="17">
        <v>5.15</v>
      </c>
      <c r="AG643" s="17">
        <v>2.84</v>
      </c>
      <c r="AL643" s="3"/>
    </row>
    <row r="644" spans="1:39" x14ac:dyDescent="0.2">
      <c r="A644" t="s">
        <v>2510</v>
      </c>
      <c r="B644" t="s">
        <v>2499</v>
      </c>
      <c r="C644" s="20" t="s">
        <v>2503</v>
      </c>
      <c r="D644" s="20" t="s">
        <v>2511</v>
      </c>
      <c r="E644" t="s">
        <v>2512</v>
      </c>
      <c r="L644" s="6" t="s">
        <v>94</v>
      </c>
      <c r="M644" t="s">
        <v>64</v>
      </c>
      <c r="N644" s="6" t="s">
        <v>55</v>
      </c>
      <c r="O644" s="6">
        <v>1</v>
      </c>
      <c r="P644"/>
    </row>
    <row r="645" spans="1:39" x14ac:dyDescent="0.2">
      <c r="A645" t="s">
        <v>2513</v>
      </c>
      <c r="B645" t="s">
        <v>2499</v>
      </c>
      <c r="C645" s="20" t="s">
        <v>2503</v>
      </c>
      <c r="D645" s="20" t="s">
        <v>187</v>
      </c>
      <c r="E645" t="s">
        <v>188</v>
      </c>
      <c r="H645" s="9"/>
      <c r="I645" s="9" t="s">
        <v>2514</v>
      </c>
      <c r="J645" s="9"/>
      <c r="K645" s="9"/>
      <c r="L645" s="6" t="s">
        <v>81</v>
      </c>
      <c r="M645" t="s">
        <v>64</v>
      </c>
      <c r="N645" s="6" t="s">
        <v>46</v>
      </c>
      <c r="O645" s="6" t="s">
        <v>208</v>
      </c>
      <c r="P645" s="6">
        <v>162</v>
      </c>
      <c r="R645" s="7"/>
    </row>
    <row r="646" spans="1:39" x14ac:dyDescent="0.2">
      <c r="A646" t="s">
        <v>2515</v>
      </c>
      <c r="B646" t="s">
        <v>2499</v>
      </c>
      <c r="C646" s="20" t="s">
        <v>2516</v>
      </c>
      <c r="D646" s="20" t="s">
        <v>2517</v>
      </c>
      <c r="E646" t="s">
        <v>2518</v>
      </c>
      <c r="H646" s="9"/>
      <c r="I646" s="9" t="s">
        <v>2519</v>
      </c>
      <c r="J646" s="9"/>
      <c r="K646" s="9" t="s">
        <v>2520</v>
      </c>
      <c r="L646" s="6" t="s">
        <v>44</v>
      </c>
      <c r="M646" t="s">
        <v>64</v>
      </c>
      <c r="N646" s="6" t="s">
        <v>46</v>
      </c>
      <c r="O646" s="6">
        <v>1</v>
      </c>
      <c r="P646" s="6">
        <v>70</v>
      </c>
      <c r="R646" s="7">
        <v>488</v>
      </c>
    </row>
    <row r="647" spans="1:39" s="47" customFormat="1" x14ac:dyDescent="0.2">
      <c r="A647" t="s">
        <v>2521</v>
      </c>
      <c r="B647" t="s">
        <v>2499</v>
      </c>
      <c r="C647" s="20" t="s">
        <v>2522</v>
      </c>
      <c r="D647" s="20" t="s">
        <v>2523</v>
      </c>
      <c r="E647" t="s">
        <v>2524</v>
      </c>
      <c r="F647"/>
      <c r="G647"/>
      <c r="H647" s="9"/>
      <c r="I647" s="9"/>
      <c r="J647" s="9"/>
      <c r="K647" s="9"/>
      <c r="L647" s="6" t="s">
        <v>63</v>
      </c>
      <c r="M647" t="s">
        <v>64</v>
      </c>
      <c r="N647" s="6" t="s">
        <v>46</v>
      </c>
      <c r="O647" s="6">
        <v>1</v>
      </c>
      <c r="P647" s="6"/>
      <c r="Q647" s="6"/>
      <c r="R647" s="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</row>
    <row r="648" spans="1:39" x14ac:dyDescent="0.2">
      <c r="A648" t="s">
        <v>2525</v>
      </c>
      <c r="B648" t="s">
        <v>2499</v>
      </c>
      <c r="C648" s="20" t="s">
        <v>2522</v>
      </c>
      <c r="D648" s="20" t="s">
        <v>2526</v>
      </c>
      <c r="E648" t="s">
        <v>2527</v>
      </c>
      <c r="L648" s="5" t="s">
        <v>279</v>
      </c>
      <c r="M648" t="s">
        <v>64</v>
      </c>
      <c r="N648" s="6" t="s">
        <v>55</v>
      </c>
      <c r="O648" s="6">
        <v>1</v>
      </c>
      <c r="P648"/>
    </row>
    <row r="649" spans="1:39" x14ac:dyDescent="0.2">
      <c r="A649" t="s">
        <v>2528</v>
      </c>
      <c r="B649" t="s">
        <v>2499</v>
      </c>
      <c r="C649" s="20" t="s">
        <v>2529</v>
      </c>
      <c r="D649" s="20" t="s">
        <v>2530</v>
      </c>
      <c r="E649" t="s">
        <v>85</v>
      </c>
      <c r="L649" s="5" t="s">
        <v>44</v>
      </c>
      <c r="M649" t="s">
        <v>54</v>
      </c>
      <c r="N649" s="6" t="s">
        <v>46</v>
      </c>
      <c r="O649" s="6">
        <v>1</v>
      </c>
      <c r="P649"/>
      <c r="AM649" s="47"/>
    </row>
    <row r="650" spans="1:39" x14ac:dyDescent="0.2">
      <c r="A650" t="s">
        <v>2531</v>
      </c>
      <c r="B650" t="s">
        <v>2499</v>
      </c>
      <c r="C650" s="20" t="s">
        <v>2519</v>
      </c>
      <c r="D650" s="20" t="s">
        <v>187</v>
      </c>
      <c r="E650" t="s">
        <v>188</v>
      </c>
      <c r="H650" s="9"/>
      <c r="I650" s="13" t="s">
        <v>2532</v>
      </c>
      <c r="J650" s="9"/>
      <c r="K650" s="9"/>
      <c r="L650" s="6" t="s">
        <v>44</v>
      </c>
      <c r="M650" t="s">
        <v>64</v>
      </c>
      <c r="N650" s="6" t="s">
        <v>46</v>
      </c>
      <c r="O650" s="6">
        <v>1</v>
      </c>
      <c r="R650" s="7"/>
    </row>
    <row r="651" spans="1:39" x14ac:dyDescent="0.2">
      <c r="A651" t="s">
        <v>2533</v>
      </c>
      <c r="B651" t="s">
        <v>2499</v>
      </c>
      <c r="C651" s="20" t="s">
        <v>2534</v>
      </c>
      <c r="D651" s="20" t="s">
        <v>2535</v>
      </c>
      <c r="E651" t="s">
        <v>2536</v>
      </c>
      <c r="H651" s="9"/>
      <c r="I651" s="9"/>
      <c r="J651" s="9"/>
      <c r="K651" s="9"/>
      <c r="L651" s="5" t="s">
        <v>81</v>
      </c>
      <c r="M651" t="s">
        <v>64</v>
      </c>
      <c r="N651" s="6" t="s">
        <v>46</v>
      </c>
      <c r="O651" s="6">
        <v>1</v>
      </c>
      <c r="P651" s="7">
        <v>187</v>
      </c>
      <c r="Q651" s="7"/>
      <c r="R651" s="7"/>
    </row>
    <row r="652" spans="1:39" x14ac:dyDescent="0.2">
      <c r="A652" t="s">
        <v>2537</v>
      </c>
      <c r="B652" s="9" t="s">
        <v>2499</v>
      </c>
      <c r="C652" s="66" t="s">
        <v>2534</v>
      </c>
      <c r="D652" s="20" t="s">
        <v>2538</v>
      </c>
      <c r="E652" t="s">
        <v>2539</v>
      </c>
      <c r="H652" s="9"/>
      <c r="I652" s="9" t="s">
        <v>2540</v>
      </c>
      <c r="J652" s="9"/>
      <c r="K652" s="9"/>
      <c r="L652" s="5" t="s">
        <v>44</v>
      </c>
      <c r="M652" t="s">
        <v>64</v>
      </c>
      <c r="N652" s="6" t="s">
        <v>46</v>
      </c>
      <c r="O652" s="6">
        <v>1</v>
      </c>
      <c r="P652" s="7">
        <v>136</v>
      </c>
      <c r="Q652" s="7" t="s">
        <v>74</v>
      </c>
      <c r="R652" s="7"/>
      <c r="S652" s="8"/>
      <c r="T652" s="3"/>
      <c r="U652" s="3"/>
      <c r="V652" s="3"/>
      <c r="W652" s="3"/>
      <c r="X652" s="8"/>
      <c r="Y652" s="3"/>
      <c r="Z652" s="14"/>
      <c r="AA652" s="3"/>
      <c r="AB652" s="3"/>
      <c r="AC652" s="3"/>
      <c r="AD652" s="14"/>
      <c r="AE652" s="3"/>
      <c r="AF652" s="14"/>
      <c r="AG652" s="14"/>
      <c r="AH652" s="8"/>
      <c r="AI652" s="3"/>
    </row>
    <row r="653" spans="1:39" x14ac:dyDescent="0.2">
      <c r="A653" t="s">
        <v>2541</v>
      </c>
      <c r="B653" t="s">
        <v>2499</v>
      </c>
      <c r="C653" s="20" t="s">
        <v>2534</v>
      </c>
      <c r="D653" s="20" t="s">
        <v>2542</v>
      </c>
      <c r="E653" t="s">
        <v>1455</v>
      </c>
      <c r="H653" s="9"/>
      <c r="I653" s="9"/>
      <c r="J653" s="9"/>
      <c r="K653" s="9"/>
      <c r="L653" s="5" t="s">
        <v>44</v>
      </c>
      <c r="M653" t="s">
        <v>64</v>
      </c>
      <c r="N653" s="6" t="s">
        <v>46</v>
      </c>
      <c r="O653" s="6">
        <v>1</v>
      </c>
      <c r="P653" s="7"/>
      <c r="Q653" s="7" t="s">
        <v>74</v>
      </c>
      <c r="R653" s="7"/>
      <c r="X653" s="8">
        <v>0.5</v>
      </c>
      <c r="Y653" t="s">
        <v>429</v>
      </c>
      <c r="AD653" s="17">
        <v>0.18</v>
      </c>
      <c r="AE653">
        <v>10</v>
      </c>
      <c r="AF653" s="8">
        <v>1.26</v>
      </c>
      <c r="AG653" s="8">
        <v>0.96</v>
      </c>
    </row>
    <row r="654" spans="1:39" x14ac:dyDescent="0.2">
      <c r="A654" t="s">
        <v>2543</v>
      </c>
      <c r="B654" s="9" t="s">
        <v>2499</v>
      </c>
      <c r="C654" s="66" t="s">
        <v>2534</v>
      </c>
      <c r="D654" s="20" t="s">
        <v>2544</v>
      </c>
      <c r="E654" t="s">
        <v>2545</v>
      </c>
      <c r="H654" s="9"/>
      <c r="I654" s="9" t="s">
        <v>2546</v>
      </c>
      <c r="J654" s="9"/>
      <c r="K654" s="9"/>
      <c r="L654" s="5" t="s">
        <v>81</v>
      </c>
      <c r="M654" t="s">
        <v>64</v>
      </c>
      <c r="N654" s="6" t="s">
        <v>46</v>
      </c>
      <c r="O654" s="6">
        <v>1</v>
      </c>
      <c r="P654" s="7">
        <v>69</v>
      </c>
      <c r="Q654" s="7" t="s">
        <v>74</v>
      </c>
      <c r="R654" s="7"/>
      <c r="S654" s="8"/>
      <c r="T654" s="3"/>
      <c r="U654" s="3"/>
      <c r="X654" s="8"/>
      <c r="Y654" s="3"/>
      <c r="Z654" s="14"/>
      <c r="AA654" s="3"/>
      <c r="AB654" s="3"/>
      <c r="AC654" s="3"/>
      <c r="AD654" s="14"/>
      <c r="AE654" s="3"/>
      <c r="AF654" s="14"/>
      <c r="AG654" s="14"/>
      <c r="AH654" s="8"/>
      <c r="AI654" s="3"/>
    </row>
    <row r="655" spans="1:39" x14ac:dyDescent="0.2">
      <c r="A655" t="s">
        <v>2547</v>
      </c>
      <c r="B655" s="9" t="s">
        <v>2499</v>
      </c>
      <c r="C655" s="20" t="s">
        <v>2534</v>
      </c>
      <c r="D655" s="20" t="s">
        <v>2548</v>
      </c>
      <c r="E655" t="s">
        <v>2539</v>
      </c>
      <c r="H655" s="9"/>
      <c r="I655" s="9"/>
      <c r="J655" s="9"/>
      <c r="K655" s="9"/>
      <c r="L655" s="5" t="s">
        <v>117</v>
      </c>
      <c r="M655" t="s">
        <v>64</v>
      </c>
      <c r="N655" s="6" t="s">
        <v>55</v>
      </c>
      <c r="O655" s="6">
        <v>1</v>
      </c>
      <c r="P655" s="7"/>
      <c r="Q655" s="7" t="s">
        <v>74</v>
      </c>
      <c r="R655" s="7"/>
      <c r="S655" s="8"/>
      <c r="T655" s="3"/>
      <c r="U655" s="3"/>
      <c r="X655" s="8"/>
      <c r="Y655" s="3"/>
      <c r="Z655" s="14"/>
      <c r="AA655" s="3"/>
      <c r="AB655" s="3"/>
      <c r="AC655" s="3"/>
      <c r="AD655" s="14"/>
      <c r="AE655" s="3"/>
      <c r="AF655" s="14"/>
      <c r="AG655" s="14"/>
      <c r="AH655" s="8"/>
      <c r="AI655" s="3"/>
    </row>
    <row r="656" spans="1:39" x14ac:dyDescent="0.2">
      <c r="A656" t="s">
        <v>2549</v>
      </c>
      <c r="B656" s="9" t="s">
        <v>2499</v>
      </c>
      <c r="C656" s="20" t="s">
        <v>2534</v>
      </c>
      <c r="D656" s="20" t="s">
        <v>2550</v>
      </c>
      <c r="E656" t="s">
        <v>2551</v>
      </c>
      <c r="H656" s="9"/>
      <c r="I656" s="9" t="s">
        <v>2552</v>
      </c>
      <c r="J656" s="9"/>
      <c r="K656" s="9"/>
      <c r="L656" s="5" t="s">
        <v>94</v>
      </c>
      <c r="M656" t="s">
        <v>64</v>
      </c>
      <c r="N656" s="6" t="s">
        <v>46</v>
      </c>
      <c r="O656" s="6">
        <v>1</v>
      </c>
      <c r="P656" s="7"/>
      <c r="Q656" s="7"/>
      <c r="R656" s="7"/>
      <c r="S656" s="8"/>
      <c r="T656" s="3"/>
      <c r="U656" s="3"/>
      <c r="X656" s="8"/>
      <c r="Y656" s="3"/>
      <c r="Z656" s="14"/>
      <c r="AA656" s="3"/>
      <c r="AB656" s="3"/>
      <c r="AC656" s="3"/>
      <c r="AD656" s="14"/>
      <c r="AE656" s="3"/>
      <c r="AF656" s="14"/>
      <c r="AG656" s="14"/>
      <c r="AH656" s="8"/>
      <c r="AI656" s="3"/>
    </row>
    <row r="657" spans="1:38" x14ac:dyDescent="0.2">
      <c r="A657" t="s">
        <v>2553</v>
      </c>
      <c r="B657" t="s">
        <v>2499</v>
      </c>
      <c r="C657" s="20" t="s">
        <v>2534</v>
      </c>
      <c r="D657" s="20" t="s">
        <v>2554</v>
      </c>
      <c r="E657" t="s">
        <v>2555</v>
      </c>
      <c r="L657" s="5" t="s">
        <v>81</v>
      </c>
      <c r="M657" t="s">
        <v>64</v>
      </c>
      <c r="N657" s="6" t="s">
        <v>46</v>
      </c>
      <c r="O657" s="6">
        <v>1</v>
      </c>
      <c r="P657"/>
      <c r="Q657" s="6" t="s">
        <v>74</v>
      </c>
    </row>
    <row r="658" spans="1:38" x14ac:dyDescent="0.2">
      <c r="A658" t="s">
        <v>2556</v>
      </c>
      <c r="B658" s="9" t="s">
        <v>2499</v>
      </c>
      <c r="C658" s="69" t="s">
        <v>2534</v>
      </c>
      <c r="D658" s="20" t="s">
        <v>267</v>
      </c>
      <c r="E658" t="s">
        <v>2557</v>
      </c>
      <c r="H658" s="9"/>
      <c r="I658" s="9" t="s">
        <v>2558</v>
      </c>
      <c r="J658" s="9"/>
      <c r="K658" s="9"/>
      <c r="L658" s="5" t="s">
        <v>63</v>
      </c>
      <c r="M658" t="s">
        <v>64</v>
      </c>
      <c r="N658" s="6" t="s">
        <v>55</v>
      </c>
      <c r="O658" s="6">
        <v>1</v>
      </c>
      <c r="P658" s="7">
        <v>122</v>
      </c>
      <c r="Q658" s="7" t="s">
        <v>74</v>
      </c>
      <c r="R658" s="7"/>
      <c r="S658" s="8"/>
      <c r="T658" s="3"/>
      <c r="U658" s="3"/>
      <c r="V658" s="3"/>
      <c r="W658" s="3"/>
      <c r="X658" s="8"/>
      <c r="Y658" s="3"/>
      <c r="Z658" s="14"/>
      <c r="AA658" s="3"/>
      <c r="AB658" s="3"/>
      <c r="AC658" s="3"/>
      <c r="AD658" s="14"/>
      <c r="AE658" s="3"/>
      <c r="AF658" s="14"/>
      <c r="AG658" s="14"/>
      <c r="AH658" s="8"/>
      <c r="AI658" s="3"/>
    </row>
    <row r="659" spans="1:38" x14ac:dyDescent="0.2">
      <c r="A659" t="s">
        <v>2559</v>
      </c>
      <c r="B659" t="s">
        <v>2499</v>
      </c>
      <c r="C659" s="20" t="s">
        <v>2534</v>
      </c>
      <c r="D659" s="20" t="s">
        <v>2560</v>
      </c>
      <c r="E659" t="s">
        <v>2539</v>
      </c>
      <c r="H659" s="9"/>
      <c r="I659" s="9"/>
      <c r="J659" s="9"/>
      <c r="K659" s="9"/>
      <c r="L659" s="5" t="s">
        <v>81</v>
      </c>
      <c r="M659" t="s">
        <v>64</v>
      </c>
      <c r="N659" s="6" t="s">
        <v>46</v>
      </c>
      <c r="O659" s="6">
        <v>1</v>
      </c>
      <c r="Q659" s="6" t="s">
        <v>74</v>
      </c>
      <c r="R659" s="7"/>
      <c r="Z659" s="17">
        <v>1.7250000000000001</v>
      </c>
      <c r="AA659">
        <v>40</v>
      </c>
      <c r="AF659" s="8">
        <v>2.87</v>
      </c>
      <c r="AG659" s="8">
        <v>2.1</v>
      </c>
    </row>
    <row r="660" spans="1:38" x14ac:dyDescent="0.2">
      <c r="A660" t="s">
        <v>2561</v>
      </c>
      <c r="B660" t="s">
        <v>2499</v>
      </c>
      <c r="C660" s="20" t="s">
        <v>2534</v>
      </c>
      <c r="D660" s="20" t="s">
        <v>2562</v>
      </c>
      <c r="E660" t="s">
        <v>1977</v>
      </c>
      <c r="H660" s="9"/>
      <c r="I660" s="9"/>
      <c r="J660" s="9"/>
      <c r="K660" s="9" t="s">
        <v>2563</v>
      </c>
      <c r="L660" s="5" t="s">
        <v>44</v>
      </c>
      <c r="M660" t="s">
        <v>64</v>
      </c>
      <c r="N660" s="6" t="s">
        <v>46</v>
      </c>
      <c r="O660" s="6">
        <v>1</v>
      </c>
      <c r="R660" s="7"/>
      <c r="AL660" s="3"/>
    </row>
    <row r="661" spans="1:38" x14ac:dyDescent="0.2">
      <c r="A661" t="s">
        <v>2564</v>
      </c>
      <c r="B661" t="s">
        <v>2499</v>
      </c>
      <c r="C661" s="20" t="s">
        <v>2534</v>
      </c>
      <c r="D661" s="20" t="s">
        <v>2565</v>
      </c>
      <c r="E661" t="s">
        <v>2539</v>
      </c>
      <c r="H661" s="9"/>
      <c r="I661" s="9"/>
      <c r="J661" s="9"/>
      <c r="K661" s="9"/>
      <c r="L661" s="5" t="s">
        <v>81</v>
      </c>
      <c r="M661" t="s">
        <v>64</v>
      </c>
      <c r="N661" s="6" t="s">
        <v>46</v>
      </c>
      <c r="O661" s="6">
        <v>1</v>
      </c>
      <c r="R661" s="7"/>
      <c r="AC661" t="s">
        <v>47</v>
      </c>
    </row>
    <row r="662" spans="1:38" x14ac:dyDescent="0.2">
      <c r="A662" t="s">
        <v>2566</v>
      </c>
      <c r="B662" t="s">
        <v>2499</v>
      </c>
      <c r="C662" s="20" t="s">
        <v>2534</v>
      </c>
      <c r="D662" s="20" t="s">
        <v>187</v>
      </c>
      <c r="E662" t="s">
        <v>188</v>
      </c>
      <c r="I662" s="3"/>
      <c r="J662" s="3"/>
      <c r="L662" s="5" t="s">
        <v>81</v>
      </c>
      <c r="M662" t="s">
        <v>64</v>
      </c>
      <c r="N662" s="6" t="s">
        <v>46</v>
      </c>
      <c r="O662" s="6">
        <v>1</v>
      </c>
      <c r="P662" s="6">
        <v>15</v>
      </c>
      <c r="R662" s="3"/>
    </row>
    <row r="663" spans="1:38" x14ac:dyDescent="0.2">
      <c r="A663" t="s">
        <v>2567</v>
      </c>
      <c r="B663" t="s">
        <v>2499</v>
      </c>
      <c r="C663" s="20" t="s">
        <v>2534</v>
      </c>
      <c r="D663" s="20" t="s">
        <v>1917</v>
      </c>
      <c r="E663" t="s">
        <v>2568</v>
      </c>
      <c r="H663" t="s">
        <v>2569</v>
      </c>
      <c r="I663" t="s">
        <v>2570</v>
      </c>
      <c r="K663" t="s">
        <v>62</v>
      </c>
      <c r="L663" s="6" t="s">
        <v>94</v>
      </c>
      <c r="M663" t="s">
        <v>64</v>
      </c>
      <c r="N663" s="6" t="s">
        <v>55</v>
      </c>
      <c r="O663" s="6">
        <v>1</v>
      </c>
      <c r="P663"/>
      <c r="S663">
        <v>22.637824779999999</v>
      </c>
      <c r="T663" t="s">
        <v>66</v>
      </c>
    </row>
    <row r="664" spans="1:38" x14ac:dyDescent="0.2">
      <c r="A664" t="s">
        <v>2571</v>
      </c>
      <c r="B664" t="s">
        <v>2499</v>
      </c>
      <c r="C664" s="20" t="s">
        <v>2534</v>
      </c>
      <c r="D664" s="20" t="s">
        <v>2572</v>
      </c>
      <c r="E664" t="s">
        <v>690</v>
      </c>
      <c r="H664" s="9"/>
      <c r="I664" s="9"/>
      <c r="J664" s="9"/>
      <c r="K664" s="9"/>
      <c r="L664" s="5" t="s">
        <v>81</v>
      </c>
      <c r="M664" t="s">
        <v>64</v>
      </c>
      <c r="N664" s="6" t="s">
        <v>46</v>
      </c>
      <c r="O664" s="6">
        <v>1</v>
      </c>
      <c r="Q664" s="6" t="s">
        <v>74</v>
      </c>
      <c r="R664" s="7"/>
      <c r="X664" s="8">
        <v>1</v>
      </c>
      <c r="Y664" t="s">
        <v>2573</v>
      </c>
      <c r="Z664" s="17">
        <v>1.42</v>
      </c>
      <c r="AA664">
        <v>10</v>
      </c>
      <c r="AF664" s="8">
        <v>2.5299999999999998</v>
      </c>
      <c r="AG664" s="8">
        <v>2.08</v>
      </c>
    </row>
    <row r="665" spans="1:38" x14ac:dyDescent="0.2">
      <c r="A665" t="s">
        <v>2574</v>
      </c>
      <c r="B665" t="s">
        <v>2499</v>
      </c>
      <c r="C665" s="20" t="s">
        <v>2534</v>
      </c>
      <c r="D665" s="20" t="s">
        <v>2064</v>
      </c>
      <c r="E665" t="s">
        <v>1455</v>
      </c>
      <c r="H665" s="9"/>
      <c r="I665" s="9" t="s">
        <v>2575</v>
      </c>
      <c r="J665" s="9"/>
      <c r="K665" s="9"/>
      <c r="L665" s="5" t="s">
        <v>81</v>
      </c>
      <c r="M665" t="s">
        <v>64</v>
      </c>
      <c r="N665" s="6" t="s">
        <v>46</v>
      </c>
      <c r="O665" s="6">
        <v>1</v>
      </c>
      <c r="P665" s="6">
        <v>14</v>
      </c>
      <c r="Q665" s="6" t="s">
        <v>74</v>
      </c>
      <c r="R665" s="7"/>
      <c r="U665" s="18">
        <v>18.936850586075199</v>
      </c>
      <c r="V665" s="18">
        <v>55.370030029924898</v>
      </c>
      <c r="W665" s="18">
        <v>7</v>
      </c>
      <c r="AD665" s="17">
        <v>0.64</v>
      </c>
      <c r="AE665">
        <v>10</v>
      </c>
      <c r="AF665" s="8">
        <v>1.6</v>
      </c>
      <c r="AG665" s="8">
        <v>1.43</v>
      </c>
      <c r="AH665" s="8">
        <v>0.49399999999999999</v>
      </c>
      <c r="AI665" t="s">
        <v>2576</v>
      </c>
    </row>
    <row r="666" spans="1:38" x14ac:dyDescent="0.2">
      <c r="A666" t="s">
        <v>2577</v>
      </c>
      <c r="B666" t="s">
        <v>2499</v>
      </c>
      <c r="C666" s="20" t="s">
        <v>2578</v>
      </c>
      <c r="D666" s="20" t="s">
        <v>2579</v>
      </c>
      <c r="E666" t="s">
        <v>2580</v>
      </c>
      <c r="H666" s="9" t="s">
        <v>2578</v>
      </c>
      <c r="I666" s="9" t="s">
        <v>2581</v>
      </c>
      <c r="J666" s="9"/>
      <c r="K666" s="9"/>
      <c r="L666" s="5" t="s">
        <v>44</v>
      </c>
      <c r="M666" t="s">
        <v>64</v>
      </c>
      <c r="N666" s="6" t="s">
        <v>46</v>
      </c>
      <c r="O666" s="6">
        <v>1</v>
      </c>
      <c r="P666" s="6">
        <v>6</v>
      </c>
      <c r="Q666" s="6" t="s">
        <v>74</v>
      </c>
      <c r="R666" s="7"/>
      <c r="Z666" s="17">
        <v>0.163333333333333</v>
      </c>
      <c r="AA666">
        <v>60</v>
      </c>
      <c r="AF666" s="8">
        <v>1.1100000000000001</v>
      </c>
      <c r="AG666" s="8">
        <v>0.86</v>
      </c>
    </row>
    <row r="667" spans="1:38" x14ac:dyDescent="0.2">
      <c r="A667" t="s">
        <v>2582</v>
      </c>
      <c r="B667" t="s">
        <v>2583</v>
      </c>
      <c r="C667" s="20" t="s">
        <v>2584</v>
      </c>
      <c r="D667" s="20" t="s">
        <v>2256</v>
      </c>
      <c r="E667" t="s">
        <v>690</v>
      </c>
      <c r="H667" s="9" t="s">
        <v>2585</v>
      </c>
      <c r="I667" s="9"/>
      <c r="J667" s="9"/>
      <c r="L667" s="6" t="s">
        <v>99</v>
      </c>
      <c r="M667" t="s">
        <v>64</v>
      </c>
      <c r="N667" s="6" t="s">
        <v>46</v>
      </c>
      <c r="O667" s="6">
        <v>2</v>
      </c>
      <c r="Q667" s="6" t="s">
        <v>74</v>
      </c>
      <c r="R667" s="7"/>
      <c r="S667">
        <v>22.642959909999998</v>
      </c>
      <c r="T667" t="s">
        <v>2586</v>
      </c>
      <c r="X667">
        <v>34.667999999999999</v>
      </c>
      <c r="Y667" t="s">
        <v>66</v>
      </c>
      <c r="AH667" s="8">
        <v>0.33</v>
      </c>
      <c r="AI667" t="s">
        <v>2587</v>
      </c>
    </row>
    <row r="668" spans="1:38" x14ac:dyDescent="0.2">
      <c r="A668" t="s">
        <v>2588</v>
      </c>
      <c r="B668" t="s">
        <v>2589</v>
      </c>
      <c r="C668" s="20" t="s">
        <v>2590</v>
      </c>
      <c r="D668" s="20" t="s">
        <v>2591</v>
      </c>
      <c r="E668" t="s">
        <v>2592</v>
      </c>
      <c r="H668" s="9"/>
      <c r="I668" s="9" t="s">
        <v>2593</v>
      </c>
      <c r="J668" s="9"/>
      <c r="L668" s="6" t="s">
        <v>99</v>
      </c>
      <c r="M668" t="s">
        <v>207</v>
      </c>
      <c r="N668" s="6" t="s">
        <v>55</v>
      </c>
      <c r="O668" s="6">
        <v>1</v>
      </c>
      <c r="P668" s="6">
        <v>207</v>
      </c>
      <c r="Q668" s="6" t="s">
        <v>74</v>
      </c>
      <c r="R668" s="7"/>
      <c r="AH668" s="8">
        <v>0.41911178999999998</v>
      </c>
      <c r="AI668" t="s">
        <v>2594</v>
      </c>
    </row>
    <row r="669" spans="1:38" x14ac:dyDescent="0.2">
      <c r="A669" t="s">
        <v>2595</v>
      </c>
      <c r="B669" s="9" t="s">
        <v>2596</v>
      </c>
      <c r="C669" s="66" t="s">
        <v>2597</v>
      </c>
      <c r="D669" s="20" t="s">
        <v>150</v>
      </c>
      <c r="E669" t="s">
        <v>2598</v>
      </c>
      <c r="H669" s="9"/>
      <c r="I669" s="9" t="s">
        <v>2599</v>
      </c>
      <c r="J669" s="9"/>
      <c r="K669" s="9"/>
      <c r="L669" s="6" t="s">
        <v>99</v>
      </c>
      <c r="M669" t="s">
        <v>207</v>
      </c>
      <c r="N669" s="6" t="s">
        <v>65</v>
      </c>
      <c r="O669" s="6">
        <v>1</v>
      </c>
      <c r="P669" s="6">
        <v>203</v>
      </c>
      <c r="R669" s="7"/>
      <c r="S669" s="8"/>
      <c r="T669" s="3"/>
      <c r="U669" s="3"/>
      <c r="V669" s="3"/>
      <c r="W669" s="3"/>
      <c r="X669" s="8"/>
      <c r="Y669" s="3"/>
      <c r="Z669" s="14"/>
      <c r="AA669" s="3"/>
      <c r="AB669" s="3"/>
      <c r="AC669" s="3"/>
      <c r="AD669" s="14"/>
      <c r="AE669" s="3"/>
      <c r="AF669" s="14"/>
      <c r="AG669" s="14"/>
      <c r="AH669" s="8"/>
      <c r="AI669" s="3"/>
    </row>
    <row r="670" spans="1:38" x14ac:dyDescent="0.2">
      <c r="A670" t="s">
        <v>2600</v>
      </c>
      <c r="B670" t="s">
        <v>2601</v>
      </c>
      <c r="C670" s="20" t="s">
        <v>2602</v>
      </c>
      <c r="D670" s="20" t="s">
        <v>187</v>
      </c>
      <c r="E670" t="s">
        <v>188</v>
      </c>
      <c r="H670" s="9" t="s">
        <v>2603</v>
      </c>
      <c r="I670" s="9"/>
      <c r="J670" s="9"/>
      <c r="K670" s="9" t="s">
        <v>2604</v>
      </c>
      <c r="L670" s="5" t="s">
        <v>81</v>
      </c>
      <c r="M670" t="s">
        <v>54</v>
      </c>
      <c r="N670" s="6" t="s">
        <v>46</v>
      </c>
      <c r="O670" s="6" t="s">
        <v>208</v>
      </c>
      <c r="R670" s="7">
        <v>576</v>
      </c>
    </row>
    <row r="671" spans="1:38" x14ac:dyDescent="0.2">
      <c r="A671" t="s">
        <v>2605</v>
      </c>
      <c r="B671" t="s">
        <v>2601</v>
      </c>
      <c r="C671" s="20" t="s">
        <v>2606</v>
      </c>
      <c r="D671" s="20" t="s">
        <v>2607</v>
      </c>
      <c r="E671" t="s">
        <v>2608</v>
      </c>
      <c r="L671" s="6" t="s">
        <v>99</v>
      </c>
      <c r="M671" t="s">
        <v>64</v>
      </c>
      <c r="N671" s="6" t="s">
        <v>46</v>
      </c>
      <c r="O671" s="6">
        <v>1</v>
      </c>
      <c r="P671"/>
    </row>
    <row r="672" spans="1:38" x14ac:dyDescent="0.2">
      <c r="A672" t="s">
        <v>2609</v>
      </c>
      <c r="B672" t="s">
        <v>2601</v>
      </c>
      <c r="C672" s="20" t="s">
        <v>2606</v>
      </c>
      <c r="D672" s="20" t="s">
        <v>1248</v>
      </c>
      <c r="E672" t="s">
        <v>278</v>
      </c>
      <c r="H672" s="9"/>
      <c r="I672" s="9"/>
      <c r="J672" s="9"/>
      <c r="K672" s="9"/>
      <c r="L672" s="6" t="s">
        <v>99</v>
      </c>
      <c r="M672" t="s">
        <v>64</v>
      </c>
      <c r="N672" s="6" t="s">
        <v>46</v>
      </c>
      <c r="O672" s="6">
        <v>1</v>
      </c>
      <c r="R672" s="7"/>
      <c r="S672" s="8">
        <v>5.3964170674093399</v>
      </c>
      <c r="T672" t="s">
        <v>2610</v>
      </c>
      <c r="AH672" s="8">
        <v>0.33</v>
      </c>
      <c r="AI672" t="s">
        <v>2611</v>
      </c>
    </row>
    <row r="673" spans="1:37" x14ac:dyDescent="0.2">
      <c r="A673" t="s">
        <v>2612</v>
      </c>
      <c r="B673" t="s">
        <v>2601</v>
      </c>
      <c r="C673" s="20" t="s">
        <v>2606</v>
      </c>
      <c r="D673" s="20" t="s">
        <v>2613</v>
      </c>
      <c r="E673" t="s">
        <v>2614</v>
      </c>
      <c r="H673" s="9"/>
      <c r="I673" s="9" t="s">
        <v>2615</v>
      </c>
      <c r="J673" s="9" t="s">
        <v>2616</v>
      </c>
      <c r="K673" s="9"/>
      <c r="L673" s="6" t="s">
        <v>99</v>
      </c>
      <c r="M673" t="s">
        <v>64</v>
      </c>
      <c r="N673" s="6" t="s">
        <v>46</v>
      </c>
      <c r="O673" s="6">
        <v>1</v>
      </c>
      <c r="P673" s="6">
        <v>3</v>
      </c>
      <c r="Q673" s="6" t="s">
        <v>74</v>
      </c>
      <c r="R673" s="7"/>
      <c r="S673" s="8">
        <v>9.0527929999999994</v>
      </c>
      <c r="T673" t="s">
        <v>2617</v>
      </c>
      <c r="X673" s="8">
        <v>0.5</v>
      </c>
      <c r="Y673" t="s">
        <v>2573</v>
      </c>
      <c r="Z673" s="17">
        <v>0.42699999999999999</v>
      </c>
      <c r="AA673">
        <v>10</v>
      </c>
      <c r="AF673" s="8">
        <v>1.84</v>
      </c>
      <c r="AG673" s="8">
        <v>1.04</v>
      </c>
      <c r="AH673" s="8">
        <v>0.29899999999999999</v>
      </c>
      <c r="AI673" t="s">
        <v>2618</v>
      </c>
    </row>
    <row r="674" spans="1:37" x14ac:dyDescent="0.2">
      <c r="A674" t="s">
        <v>2619</v>
      </c>
      <c r="B674" t="s">
        <v>2601</v>
      </c>
      <c r="C674" s="20" t="s">
        <v>2606</v>
      </c>
      <c r="D674" s="20" t="s">
        <v>2620</v>
      </c>
      <c r="E674" t="s">
        <v>85</v>
      </c>
      <c r="H674" s="9"/>
      <c r="I674" s="9" t="s">
        <v>2621</v>
      </c>
      <c r="J674" s="9"/>
      <c r="K674" s="9"/>
      <c r="L674" s="6" t="s">
        <v>99</v>
      </c>
      <c r="M674" t="s">
        <v>64</v>
      </c>
      <c r="N674" s="6" t="s">
        <v>55</v>
      </c>
      <c r="O674" s="6">
        <v>1</v>
      </c>
      <c r="P674" s="6">
        <v>8</v>
      </c>
      <c r="Q674" s="6" t="s">
        <v>74</v>
      </c>
      <c r="R674" s="7"/>
      <c r="S674">
        <v>13.793645</v>
      </c>
      <c r="T674" t="s">
        <v>66</v>
      </c>
      <c r="X674" s="8">
        <v>0.6</v>
      </c>
      <c r="Y674" t="s">
        <v>2573</v>
      </c>
      <c r="Z674" s="17">
        <v>0.58499999999999996</v>
      </c>
      <c r="AA674">
        <v>40</v>
      </c>
      <c r="AF674" s="8">
        <v>2.21</v>
      </c>
      <c r="AG674" s="8">
        <v>0.92</v>
      </c>
      <c r="AH674" s="8">
        <v>0.3</v>
      </c>
      <c r="AI674" t="s">
        <v>2622</v>
      </c>
    </row>
    <row r="675" spans="1:37" x14ac:dyDescent="0.2">
      <c r="A675" t="s">
        <v>2623</v>
      </c>
      <c r="B675" t="s">
        <v>2601</v>
      </c>
      <c r="C675" s="20" t="s">
        <v>2606</v>
      </c>
      <c r="D675" s="20" t="s">
        <v>364</v>
      </c>
      <c r="H675" s="9"/>
      <c r="I675" s="9"/>
      <c r="J675" s="9"/>
      <c r="K675" s="9"/>
      <c r="L675" s="6" t="s">
        <v>99</v>
      </c>
      <c r="M675" t="s">
        <v>64</v>
      </c>
      <c r="N675" s="6" t="s">
        <v>46</v>
      </c>
      <c r="O675" s="6">
        <v>1</v>
      </c>
      <c r="R675" s="7"/>
      <c r="X675" s="8"/>
      <c r="Z675" s="17"/>
      <c r="AF675" s="8"/>
      <c r="AG675" s="8"/>
      <c r="AH675" s="8"/>
    </row>
    <row r="676" spans="1:37" x14ac:dyDescent="0.2">
      <c r="A676" t="s">
        <v>2624</v>
      </c>
      <c r="B676" t="s">
        <v>2601</v>
      </c>
      <c r="C676" s="20" t="s">
        <v>2625</v>
      </c>
      <c r="D676" s="20" t="s">
        <v>2626</v>
      </c>
      <c r="E676" t="s">
        <v>278</v>
      </c>
      <c r="I676" s="3"/>
      <c r="J676" s="3"/>
      <c r="K676" s="3"/>
      <c r="L676" s="6" t="s">
        <v>94</v>
      </c>
      <c r="M676" t="s">
        <v>64</v>
      </c>
      <c r="N676" s="6" t="s">
        <v>55</v>
      </c>
      <c r="O676" s="6">
        <v>1</v>
      </c>
      <c r="R676" s="3"/>
      <c r="S676">
        <v>18.48501362</v>
      </c>
      <c r="T676" t="s">
        <v>66</v>
      </c>
      <c r="X676" s="8">
        <v>0.72160911999999999</v>
      </c>
      <c r="Y676" t="s">
        <v>88</v>
      </c>
    </row>
    <row r="677" spans="1:37" x14ac:dyDescent="0.2">
      <c r="A677" t="s">
        <v>2627</v>
      </c>
      <c r="B677" t="s">
        <v>2601</v>
      </c>
      <c r="C677" s="20" t="s">
        <v>2628</v>
      </c>
      <c r="D677" s="20" t="s">
        <v>2629</v>
      </c>
      <c r="E677" t="s">
        <v>2630</v>
      </c>
      <c r="H677" s="9"/>
      <c r="I677" s="9"/>
      <c r="J677" s="9"/>
      <c r="K677" s="9" t="s">
        <v>460</v>
      </c>
      <c r="L677" s="5" t="s">
        <v>81</v>
      </c>
      <c r="M677" t="s">
        <v>64</v>
      </c>
      <c r="N677" s="6" t="s">
        <v>46</v>
      </c>
      <c r="O677" s="6">
        <v>1</v>
      </c>
      <c r="P677"/>
      <c r="R677" s="7"/>
    </row>
    <row r="678" spans="1:37" x14ac:dyDescent="0.2">
      <c r="A678" t="s">
        <v>2631</v>
      </c>
      <c r="B678" t="s">
        <v>2601</v>
      </c>
      <c r="C678" s="20" t="s">
        <v>2628</v>
      </c>
      <c r="D678" s="20" t="s">
        <v>2632</v>
      </c>
      <c r="E678" t="s">
        <v>2630</v>
      </c>
      <c r="H678" s="9"/>
      <c r="I678" s="9"/>
      <c r="J678" s="9"/>
      <c r="K678" s="9"/>
      <c r="L678" s="5" t="s">
        <v>44</v>
      </c>
      <c r="M678" t="s">
        <v>64</v>
      </c>
      <c r="N678" s="6" t="s">
        <v>46</v>
      </c>
      <c r="O678" s="6">
        <v>1</v>
      </c>
      <c r="P678"/>
      <c r="R678" s="7"/>
      <c r="S678" s="8">
        <v>19.902703436079602</v>
      </c>
      <c r="T678" t="s">
        <v>88</v>
      </c>
      <c r="X678" s="8">
        <v>0.71560887112747595</v>
      </c>
      <c r="Y678" t="s">
        <v>88</v>
      </c>
    </row>
    <row r="679" spans="1:37" x14ac:dyDescent="0.2">
      <c r="A679" t="s">
        <v>2633</v>
      </c>
      <c r="B679" t="s">
        <v>2601</v>
      </c>
      <c r="C679" s="66" t="s">
        <v>2634</v>
      </c>
      <c r="D679" s="20" t="s">
        <v>2635</v>
      </c>
      <c r="E679" t="s">
        <v>2636</v>
      </c>
      <c r="H679" s="9"/>
      <c r="I679" s="9"/>
      <c r="J679" s="9"/>
      <c r="K679" s="9"/>
      <c r="L679" s="5" t="s">
        <v>44</v>
      </c>
      <c r="M679" t="s">
        <v>54</v>
      </c>
      <c r="N679" s="6" t="s">
        <v>46</v>
      </c>
      <c r="O679" s="6">
        <v>1</v>
      </c>
      <c r="P679" s="6">
        <v>101</v>
      </c>
      <c r="R679" s="7"/>
      <c r="S679" s="8"/>
      <c r="X679" s="8"/>
    </row>
    <row r="680" spans="1:37" x14ac:dyDescent="0.2">
      <c r="A680" t="s">
        <v>2637</v>
      </c>
      <c r="B680" t="s">
        <v>2601</v>
      </c>
      <c r="C680" s="66" t="s">
        <v>2634</v>
      </c>
      <c r="D680" s="20" t="s">
        <v>1094</v>
      </c>
      <c r="E680" t="s">
        <v>278</v>
      </c>
      <c r="H680" s="9"/>
      <c r="I680" s="9"/>
      <c r="J680" s="9"/>
      <c r="K680" s="9" t="s">
        <v>2520</v>
      </c>
      <c r="L680" s="5" t="s">
        <v>44</v>
      </c>
      <c r="M680" t="s">
        <v>54</v>
      </c>
      <c r="N680" s="6" t="s">
        <v>65</v>
      </c>
      <c r="O680" s="6">
        <v>1</v>
      </c>
      <c r="P680"/>
      <c r="R680" s="7">
        <v>489</v>
      </c>
      <c r="S680" s="8"/>
      <c r="X680" s="8"/>
    </row>
    <row r="681" spans="1:37" x14ac:dyDescent="0.2">
      <c r="A681" t="s">
        <v>2638</v>
      </c>
      <c r="B681" t="s">
        <v>2601</v>
      </c>
      <c r="C681" s="20" t="s">
        <v>2634</v>
      </c>
      <c r="D681" s="20" t="s">
        <v>364</v>
      </c>
      <c r="E681" t="s">
        <v>188</v>
      </c>
      <c r="H681" s="9"/>
      <c r="I681" s="9"/>
      <c r="J681" s="9" t="s">
        <v>2639</v>
      </c>
      <c r="K681" s="9" t="s">
        <v>2640</v>
      </c>
      <c r="L681" s="5" t="s">
        <v>44</v>
      </c>
      <c r="M681" t="s">
        <v>64</v>
      </c>
      <c r="N681" s="6" t="s">
        <v>46</v>
      </c>
      <c r="O681" s="6">
        <v>1</v>
      </c>
      <c r="P681"/>
      <c r="R681" s="7">
        <v>575</v>
      </c>
    </row>
    <row r="682" spans="1:37" x14ac:dyDescent="0.2">
      <c r="A682" t="s">
        <v>2641</v>
      </c>
      <c r="B682" t="s">
        <v>2601</v>
      </c>
      <c r="C682" s="20" t="s">
        <v>2642</v>
      </c>
      <c r="D682" s="20" t="s">
        <v>2643</v>
      </c>
      <c r="E682" t="s">
        <v>2644</v>
      </c>
      <c r="L682" s="6" t="s">
        <v>94</v>
      </c>
      <c r="M682" t="s">
        <v>64</v>
      </c>
      <c r="N682" s="6" t="s">
        <v>46</v>
      </c>
      <c r="O682" s="6">
        <v>1</v>
      </c>
      <c r="P682"/>
      <c r="S682">
        <v>25.28382787</v>
      </c>
      <c r="T682" t="s">
        <v>66</v>
      </c>
      <c r="AH682" s="8">
        <v>0.310960446</v>
      </c>
      <c r="AI682" t="s">
        <v>66</v>
      </c>
    </row>
    <row r="683" spans="1:37" x14ac:dyDescent="0.2">
      <c r="A683" t="s">
        <v>2645</v>
      </c>
      <c r="B683" t="s">
        <v>2601</v>
      </c>
      <c r="C683" s="20" t="s">
        <v>2642</v>
      </c>
      <c r="D683" s="20" t="s">
        <v>2646</v>
      </c>
      <c r="E683" t="s">
        <v>2647</v>
      </c>
      <c r="H683" s="9" t="s">
        <v>2645</v>
      </c>
      <c r="I683" s="9" t="s">
        <v>2648</v>
      </c>
      <c r="J683" s="9"/>
      <c r="K683" s="9" t="s">
        <v>2649</v>
      </c>
      <c r="L683" s="5" t="s">
        <v>63</v>
      </c>
      <c r="M683" t="s">
        <v>64</v>
      </c>
      <c r="N683" s="6" t="s">
        <v>46</v>
      </c>
      <c r="O683" s="6">
        <v>1</v>
      </c>
      <c r="P683"/>
      <c r="R683" s="7"/>
      <c r="S683">
        <v>24.99561692</v>
      </c>
      <c r="T683" t="s">
        <v>66</v>
      </c>
      <c r="AH683" s="8">
        <v>0.49</v>
      </c>
      <c r="AI683" t="s">
        <v>1867</v>
      </c>
    </row>
    <row r="684" spans="1:37" x14ac:dyDescent="0.2">
      <c r="A684" t="s">
        <v>2650</v>
      </c>
      <c r="B684" t="s">
        <v>2651</v>
      </c>
      <c r="C684" s="20" t="s">
        <v>2652</v>
      </c>
      <c r="D684" s="20" t="s">
        <v>2653</v>
      </c>
      <c r="E684" t="s">
        <v>59</v>
      </c>
      <c r="H684" s="9"/>
      <c r="I684" s="9"/>
      <c r="J684" s="9"/>
      <c r="K684" s="9"/>
      <c r="L684" s="5" t="s">
        <v>94</v>
      </c>
      <c r="M684" t="s">
        <v>64</v>
      </c>
      <c r="N684" s="6" t="s">
        <v>55</v>
      </c>
      <c r="O684" s="6">
        <v>1</v>
      </c>
      <c r="P684"/>
      <c r="Q684" s="6" t="s">
        <v>74</v>
      </c>
      <c r="R684" s="7"/>
      <c r="AH684" s="8"/>
    </row>
    <row r="685" spans="1:37" x14ac:dyDescent="0.2">
      <c r="A685" t="s">
        <v>2654</v>
      </c>
      <c r="B685" t="s">
        <v>2651</v>
      </c>
      <c r="C685" s="20" t="s">
        <v>2652</v>
      </c>
      <c r="D685" s="20" t="s">
        <v>543</v>
      </c>
      <c r="E685" t="s">
        <v>1325</v>
      </c>
      <c r="I685" s="3"/>
      <c r="J685" s="3"/>
      <c r="K685" s="3"/>
      <c r="L685" s="6" t="s">
        <v>99</v>
      </c>
      <c r="M685" t="s">
        <v>64</v>
      </c>
      <c r="N685" s="6" t="s">
        <v>65</v>
      </c>
      <c r="O685" s="6">
        <v>1</v>
      </c>
      <c r="P685"/>
      <c r="R685" s="3"/>
    </row>
    <row r="686" spans="1:37" x14ac:dyDescent="0.2">
      <c r="A686" t="s">
        <v>2655</v>
      </c>
      <c r="B686" t="s">
        <v>2651</v>
      </c>
      <c r="C686" s="20" t="s">
        <v>2656</v>
      </c>
      <c r="D686" s="20" t="s">
        <v>2657</v>
      </c>
      <c r="E686" t="s">
        <v>85</v>
      </c>
      <c r="I686" s="3"/>
      <c r="J686" s="3"/>
      <c r="L686" s="5" t="s">
        <v>81</v>
      </c>
      <c r="M686" t="s">
        <v>64</v>
      </c>
      <c r="N686" s="6" t="s">
        <v>46</v>
      </c>
      <c r="O686" s="6">
        <v>1</v>
      </c>
      <c r="P686" s="6">
        <v>13</v>
      </c>
      <c r="Q686" s="6" t="s">
        <v>74</v>
      </c>
      <c r="R686" s="3"/>
      <c r="S686">
        <v>20.818349999999999</v>
      </c>
      <c r="T686" t="s">
        <v>66</v>
      </c>
      <c r="X686" s="8">
        <v>23</v>
      </c>
      <c r="Y686" t="s">
        <v>2266</v>
      </c>
      <c r="Z686" s="17">
        <v>9.59</v>
      </c>
      <c r="AA686">
        <v>10</v>
      </c>
      <c r="AF686" s="8">
        <v>4.0199999999999996</v>
      </c>
      <c r="AG686" s="8">
        <v>2.78</v>
      </c>
    </row>
    <row r="687" spans="1:37" x14ac:dyDescent="0.2">
      <c r="A687" t="s">
        <v>2658</v>
      </c>
      <c r="B687" t="s">
        <v>2651</v>
      </c>
      <c r="C687" s="20" t="s">
        <v>2656</v>
      </c>
      <c r="D687" s="20" t="s">
        <v>2659</v>
      </c>
      <c r="E687" t="s">
        <v>85</v>
      </c>
      <c r="L687" s="5" t="s">
        <v>81</v>
      </c>
      <c r="M687" t="s">
        <v>64</v>
      </c>
      <c r="N687" s="6" t="s">
        <v>46</v>
      </c>
      <c r="O687" s="6">
        <v>1</v>
      </c>
      <c r="P687"/>
    </row>
    <row r="688" spans="1:37" x14ac:dyDescent="0.2">
      <c r="A688" t="s">
        <v>2660</v>
      </c>
      <c r="B688" t="s">
        <v>2651</v>
      </c>
      <c r="C688" s="20" t="s">
        <v>2661</v>
      </c>
      <c r="D688" s="20" t="s">
        <v>2662</v>
      </c>
      <c r="E688" t="s">
        <v>2663</v>
      </c>
      <c r="H688" s="9" t="s">
        <v>2664</v>
      </c>
      <c r="I688" s="9"/>
      <c r="J688" s="9"/>
      <c r="K688" s="9" t="s">
        <v>2665</v>
      </c>
      <c r="L688" s="6" t="s">
        <v>99</v>
      </c>
      <c r="M688" t="s">
        <v>207</v>
      </c>
      <c r="N688" s="6" t="s">
        <v>46</v>
      </c>
      <c r="O688" s="6">
        <v>1</v>
      </c>
      <c r="P688"/>
      <c r="Q688" s="6" t="s">
        <v>74</v>
      </c>
      <c r="R688" s="7"/>
      <c r="S688" s="8">
        <v>13.524001</v>
      </c>
      <c r="T688" t="s">
        <v>95</v>
      </c>
      <c r="U688" s="18">
        <v>21.480981597677999</v>
      </c>
      <c r="V688" s="18">
        <v>49.727728673825503</v>
      </c>
      <c r="W688" s="18">
        <v>10</v>
      </c>
      <c r="Z688" s="17">
        <v>0.4</v>
      </c>
      <c r="AA688">
        <v>9</v>
      </c>
      <c r="AF688" s="8">
        <v>1.69</v>
      </c>
      <c r="AG688" s="8">
        <v>1.32</v>
      </c>
      <c r="AJ688" s="8">
        <v>0.33</v>
      </c>
      <c r="AK688">
        <v>5</v>
      </c>
    </row>
    <row r="689" spans="1:36" x14ac:dyDescent="0.2">
      <c r="A689" t="s">
        <v>2666</v>
      </c>
      <c r="B689" t="s">
        <v>2651</v>
      </c>
      <c r="C689" s="20" t="s">
        <v>2667</v>
      </c>
      <c r="D689" s="20" t="s">
        <v>2668</v>
      </c>
      <c r="E689" t="s">
        <v>134</v>
      </c>
      <c r="H689" s="9"/>
      <c r="I689" s="9"/>
      <c r="J689" s="9"/>
      <c r="K689" s="9" t="s">
        <v>2669</v>
      </c>
      <c r="L689" s="5" t="s">
        <v>44</v>
      </c>
      <c r="M689" t="s">
        <v>54</v>
      </c>
      <c r="N689" s="6" t="s">
        <v>46</v>
      </c>
      <c r="O689" s="6">
        <v>1</v>
      </c>
      <c r="P689"/>
      <c r="R689" s="7"/>
      <c r="S689" s="8">
        <v>24.322007612903199</v>
      </c>
      <c r="T689" t="s">
        <v>88</v>
      </c>
      <c r="X689" s="8">
        <v>0.74461041119115501</v>
      </c>
      <c r="Y689" t="s">
        <v>88</v>
      </c>
    </row>
    <row r="690" spans="1:36" x14ac:dyDescent="0.2">
      <c r="A690" t="s">
        <v>2670</v>
      </c>
      <c r="B690" t="s">
        <v>2671</v>
      </c>
      <c r="C690" s="20" t="s">
        <v>2672</v>
      </c>
      <c r="D690" s="20" t="s">
        <v>2673</v>
      </c>
      <c r="E690" t="s">
        <v>690</v>
      </c>
      <c r="H690" s="9" t="s">
        <v>2674</v>
      </c>
      <c r="I690" s="13" t="s">
        <v>2675</v>
      </c>
      <c r="J690" s="9"/>
      <c r="K690" s="9" t="s">
        <v>2676</v>
      </c>
      <c r="L690" s="5" t="s">
        <v>44</v>
      </c>
      <c r="M690" t="s">
        <v>54</v>
      </c>
      <c r="N690" s="6" t="s">
        <v>46</v>
      </c>
      <c r="O690" s="6">
        <v>1</v>
      </c>
      <c r="P690"/>
      <c r="R690" s="7"/>
    </row>
    <row r="691" spans="1:36" x14ac:dyDescent="0.2">
      <c r="A691" t="s">
        <v>2677</v>
      </c>
      <c r="B691" t="s">
        <v>2678</v>
      </c>
      <c r="C691" s="20" t="s">
        <v>2679</v>
      </c>
      <c r="D691" s="20" t="s">
        <v>2680</v>
      </c>
      <c r="E691" t="s">
        <v>2681</v>
      </c>
      <c r="H691" s="9"/>
      <c r="I691" s="9"/>
      <c r="J691" s="9"/>
      <c r="K691" s="9"/>
      <c r="L691" s="5" t="s">
        <v>63</v>
      </c>
      <c r="M691" t="s">
        <v>64</v>
      </c>
      <c r="N691" s="6" t="s">
        <v>46</v>
      </c>
      <c r="O691" s="6">
        <v>1</v>
      </c>
      <c r="P691"/>
      <c r="R691" s="7"/>
      <c r="S691" s="8">
        <v>54.636393913043499</v>
      </c>
      <c r="T691" t="s">
        <v>88</v>
      </c>
      <c r="X691" s="8">
        <v>51.087838135018302</v>
      </c>
      <c r="Y691" t="s">
        <v>88</v>
      </c>
      <c r="AH691" s="8">
        <v>0.31650014300000001</v>
      </c>
      <c r="AI691" t="s">
        <v>66</v>
      </c>
    </row>
    <row r="692" spans="1:36" x14ac:dyDescent="0.2">
      <c r="A692" t="s">
        <v>2682</v>
      </c>
      <c r="B692" t="s">
        <v>2678</v>
      </c>
      <c r="C692" s="20" t="s">
        <v>2679</v>
      </c>
      <c r="D692" s="20" t="s">
        <v>2683</v>
      </c>
      <c r="E692" t="s">
        <v>2684</v>
      </c>
      <c r="H692" s="9"/>
      <c r="I692" s="9"/>
      <c r="J692" s="9"/>
      <c r="K692" s="9"/>
      <c r="L692" s="5" t="s">
        <v>63</v>
      </c>
      <c r="M692" t="s">
        <v>64</v>
      </c>
      <c r="N692" s="6" t="s">
        <v>46</v>
      </c>
      <c r="O692" s="6">
        <v>1</v>
      </c>
      <c r="P692" s="6">
        <v>49</v>
      </c>
      <c r="Q692" s="6" t="s">
        <v>74</v>
      </c>
      <c r="R692" s="7"/>
      <c r="S692" s="8">
        <v>34.622968996875002</v>
      </c>
      <c r="T692" t="s">
        <v>88</v>
      </c>
      <c r="X692" s="8">
        <v>49.935017444164501</v>
      </c>
      <c r="Y692" t="s">
        <v>88</v>
      </c>
      <c r="AF692">
        <v>3.9710000000000001</v>
      </c>
      <c r="AG692">
        <v>3.6</v>
      </c>
    </row>
    <row r="693" spans="1:36" x14ac:dyDescent="0.2">
      <c r="A693" t="s">
        <v>2685</v>
      </c>
      <c r="B693" t="s">
        <v>2678</v>
      </c>
      <c r="C693" s="20" t="s">
        <v>2686</v>
      </c>
      <c r="D693" s="20" t="s">
        <v>2687</v>
      </c>
      <c r="E693" t="s">
        <v>2688</v>
      </c>
      <c r="H693" s="9" t="s">
        <v>2686</v>
      </c>
      <c r="I693" s="9"/>
      <c r="J693" s="9"/>
      <c r="K693" s="9"/>
      <c r="L693" s="5" t="s">
        <v>63</v>
      </c>
      <c r="M693" t="s">
        <v>64</v>
      </c>
      <c r="N693" s="6" t="s">
        <v>46</v>
      </c>
      <c r="O693" s="6">
        <v>1</v>
      </c>
      <c r="P693" s="6">
        <v>125</v>
      </c>
      <c r="Q693" s="6" t="s">
        <v>74</v>
      </c>
      <c r="R693" s="7">
        <v>560</v>
      </c>
      <c r="S693">
        <v>14.592720999999999</v>
      </c>
      <c r="T693" t="s">
        <v>66</v>
      </c>
      <c r="X693" s="8">
        <v>12.972235161355</v>
      </c>
      <c r="Y693" t="s">
        <v>88</v>
      </c>
      <c r="AD693" s="17">
        <v>7.9950000000000001</v>
      </c>
      <c r="AE693">
        <v>20</v>
      </c>
      <c r="AF693" s="8">
        <v>3.54</v>
      </c>
      <c r="AG693" s="8">
        <v>2.61</v>
      </c>
    </row>
    <row r="694" spans="1:36" x14ac:dyDescent="0.2">
      <c r="A694" t="s">
        <v>2689</v>
      </c>
      <c r="B694" t="s">
        <v>2690</v>
      </c>
      <c r="C694" s="20" t="s">
        <v>2691</v>
      </c>
      <c r="D694" s="20" t="s">
        <v>2692</v>
      </c>
      <c r="E694" t="s">
        <v>374</v>
      </c>
      <c r="I694" s="3"/>
      <c r="J694" s="3"/>
      <c r="K694" s="3"/>
      <c r="L694" s="6" t="s">
        <v>99</v>
      </c>
      <c r="M694" t="s">
        <v>207</v>
      </c>
      <c r="N694" s="6" t="s">
        <v>46</v>
      </c>
      <c r="O694" s="6">
        <v>2</v>
      </c>
      <c r="P694"/>
      <c r="R694" s="3"/>
      <c r="S694">
        <v>14.315510890000001</v>
      </c>
      <c r="T694" t="s">
        <v>66</v>
      </c>
      <c r="X694">
        <v>7.694</v>
      </c>
      <c r="Y694" t="s">
        <v>66</v>
      </c>
      <c r="AH694" s="8">
        <v>0.418583333</v>
      </c>
      <c r="AI694" t="s">
        <v>2693</v>
      </c>
    </row>
    <row r="695" spans="1:36" x14ac:dyDescent="0.2">
      <c r="A695" t="s">
        <v>2694</v>
      </c>
      <c r="B695" t="s">
        <v>2690</v>
      </c>
      <c r="C695" s="20" t="s">
        <v>2691</v>
      </c>
      <c r="D695" s="20" t="s">
        <v>2695</v>
      </c>
      <c r="E695" t="s">
        <v>161</v>
      </c>
      <c r="I695" s="3"/>
      <c r="J695" s="3"/>
      <c r="K695" s="3"/>
      <c r="L695" s="6" t="s">
        <v>99</v>
      </c>
      <c r="M695" t="s">
        <v>207</v>
      </c>
      <c r="N695" s="6" t="s">
        <v>65</v>
      </c>
      <c r="O695" s="6">
        <v>2</v>
      </c>
      <c r="P695"/>
      <c r="Q695" s="6" t="s">
        <v>74</v>
      </c>
      <c r="R695" s="3"/>
      <c r="S695" s="8">
        <v>13.387893887275199</v>
      </c>
      <c r="T695" t="s">
        <v>2696</v>
      </c>
      <c r="U695" s="18">
        <v>14.561169661136001</v>
      </c>
      <c r="V695" s="18">
        <v>74.050528131389498</v>
      </c>
      <c r="W695" s="18">
        <v>11</v>
      </c>
      <c r="AB695">
        <v>300</v>
      </c>
      <c r="AC695" t="s">
        <v>100</v>
      </c>
      <c r="AH695" s="8">
        <v>0.32437500000000002</v>
      </c>
      <c r="AI695" t="s">
        <v>2697</v>
      </c>
      <c r="AJ695" t="s">
        <v>839</v>
      </c>
    </row>
    <row r="696" spans="1:36" x14ac:dyDescent="0.2">
      <c r="A696" t="s">
        <v>2698</v>
      </c>
      <c r="B696" t="s">
        <v>2699</v>
      </c>
      <c r="C696" s="20" t="s">
        <v>2700</v>
      </c>
      <c r="D696" s="20" t="s">
        <v>2701</v>
      </c>
      <c r="E696" t="s">
        <v>2702</v>
      </c>
      <c r="H696" s="9"/>
      <c r="I696" s="9" t="s">
        <v>2703</v>
      </c>
      <c r="J696" s="9"/>
      <c r="K696" s="9" t="s">
        <v>2704</v>
      </c>
      <c r="L696" s="5" t="s">
        <v>44</v>
      </c>
      <c r="M696" t="s">
        <v>64</v>
      </c>
      <c r="N696" s="6" t="s">
        <v>46</v>
      </c>
      <c r="O696" s="6">
        <v>1</v>
      </c>
      <c r="P696"/>
      <c r="R696" s="7"/>
      <c r="S696" s="8">
        <v>43.227366969666001</v>
      </c>
      <c r="T696" t="s">
        <v>88</v>
      </c>
    </row>
    <row r="697" spans="1:36" x14ac:dyDescent="0.2">
      <c r="A697" t="s">
        <v>2705</v>
      </c>
      <c r="B697" t="s">
        <v>2699</v>
      </c>
      <c r="C697" s="20" t="s">
        <v>2706</v>
      </c>
      <c r="D697" s="20" t="s">
        <v>1407</v>
      </c>
      <c r="E697" t="s">
        <v>2707</v>
      </c>
      <c r="H697" s="9" t="s">
        <v>2706</v>
      </c>
      <c r="I697" s="9"/>
      <c r="J697" s="9"/>
      <c r="K697" s="9"/>
      <c r="L697" s="5" t="s">
        <v>44</v>
      </c>
      <c r="M697" t="s">
        <v>64</v>
      </c>
      <c r="N697" s="6" t="s">
        <v>55</v>
      </c>
      <c r="O697" s="6">
        <v>1</v>
      </c>
      <c r="P697"/>
      <c r="Q697" s="6" t="s">
        <v>74</v>
      </c>
      <c r="R697" s="7"/>
      <c r="S697" s="8">
        <v>16.4266282352941</v>
      </c>
      <c r="T697" t="s">
        <v>88</v>
      </c>
      <c r="X697" s="8">
        <v>9.3763096143501095</v>
      </c>
      <c r="Y697" t="s">
        <v>88</v>
      </c>
      <c r="Z697" s="17">
        <v>4.4166666666666696</v>
      </c>
      <c r="AA697">
        <v>30</v>
      </c>
      <c r="AD697" s="17">
        <v>15.72</v>
      </c>
      <c r="AE697">
        <v>10</v>
      </c>
      <c r="AF697" s="8">
        <v>3.57</v>
      </c>
      <c r="AG697" s="8">
        <v>3.26</v>
      </c>
    </row>
    <row r="698" spans="1:36" x14ac:dyDescent="0.2">
      <c r="A698" t="s">
        <v>2708</v>
      </c>
      <c r="B698" t="s">
        <v>2699</v>
      </c>
      <c r="C698" s="20" t="s">
        <v>2709</v>
      </c>
      <c r="D698" s="20" t="s">
        <v>2710</v>
      </c>
      <c r="E698" t="s">
        <v>882</v>
      </c>
      <c r="L698" s="5" t="s">
        <v>44</v>
      </c>
      <c r="M698" t="s">
        <v>64</v>
      </c>
      <c r="N698" s="6" t="s">
        <v>55</v>
      </c>
      <c r="O698" s="6">
        <v>1</v>
      </c>
      <c r="P698"/>
    </row>
    <row r="699" spans="1:36" x14ac:dyDescent="0.2">
      <c r="A699" t="s">
        <v>2711</v>
      </c>
      <c r="B699" t="s">
        <v>2699</v>
      </c>
      <c r="C699" s="20" t="s">
        <v>2712</v>
      </c>
      <c r="D699" s="20" t="s">
        <v>2713</v>
      </c>
      <c r="E699" t="s">
        <v>2714</v>
      </c>
      <c r="H699" s="9"/>
      <c r="I699" s="9" t="s">
        <v>2715</v>
      </c>
      <c r="J699" s="9"/>
      <c r="K699" s="9"/>
      <c r="L699" s="5" t="s">
        <v>44</v>
      </c>
      <c r="M699" t="s">
        <v>64</v>
      </c>
      <c r="N699" s="6" t="s">
        <v>46</v>
      </c>
      <c r="O699" s="6">
        <v>1</v>
      </c>
      <c r="P699"/>
      <c r="R699" s="7"/>
    </row>
    <row r="700" spans="1:36" x14ac:dyDescent="0.2">
      <c r="E700" t="s">
        <v>1206</v>
      </c>
    </row>
    <row r="701" spans="1:36" x14ac:dyDescent="0.2">
      <c r="E701" t="s">
        <v>1206</v>
      </c>
    </row>
    <row r="702" spans="1:36" x14ac:dyDescent="0.2">
      <c r="E702" t="s">
        <v>1206</v>
      </c>
    </row>
    <row r="703" spans="1:36" x14ac:dyDescent="0.2">
      <c r="E703" t="s">
        <v>1206</v>
      </c>
    </row>
    <row r="704" spans="1:36" x14ac:dyDescent="0.2">
      <c r="E704" t="s">
        <v>1206</v>
      </c>
    </row>
    <row r="705" spans="5:5" x14ac:dyDescent="0.2">
      <c r="E705" t="s">
        <v>1206</v>
      </c>
    </row>
    <row r="706" spans="5:5" x14ac:dyDescent="0.2">
      <c r="E706" t="s">
        <v>1206</v>
      </c>
    </row>
    <row r="707" spans="5:5" x14ac:dyDescent="0.2">
      <c r="E707" t="s">
        <v>1206</v>
      </c>
    </row>
    <row r="708" spans="5:5" x14ac:dyDescent="0.2">
      <c r="E708" t="s">
        <v>1206</v>
      </c>
    </row>
    <row r="709" spans="5:5" x14ac:dyDescent="0.2">
      <c r="E709" t="s">
        <v>1206</v>
      </c>
    </row>
    <row r="710" spans="5:5" x14ac:dyDescent="0.2">
      <c r="E710" t="s">
        <v>1206</v>
      </c>
    </row>
    <row r="711" spans="5:5" x14ac:dyDescent="0.2">
      <c r="E711" t="s">
        <v>1206</v>
      </c>
    </row>
    <row r="712" spans="5:5" x14ac:dyDescent="0.2">
      <c r="E712" t="s">
        <v>1206</v>
      </c>
    </row>
    <row r="713" spans="5:5" x14ac:dyDescent="0.2">
      <c r="E713" t="s">
        <v>1206</v>
      </c>
    </row>
    <row r="714" spans="5:5" x14ac:dyDescent="0.2">
      <c r="E714" t="s">
        <v>1206</v>
      </c>
    </row>
    <row r="715" spans="5:5" x14ac:dyDescent="0.2">
      <c r="E715" t="s">
        <v>1206</v>
      </c>
    </row>
    <row r="716" spans="5:5" x14ac:dyDescent="0.2">
      <c r="E716" t="s">
        <v>1206</v>
      </c>
    </row>
    <row r="717" spans="5:5" x14ac:dyDescent="0.2">
      <c r="E717" t="s">
        <v>1206</v>
      </c>
    </row>
    <row r="718" spans="5:5" x14ac:dyDescent="0.2">
      <c r="E718" t="s">
        <v>1206</v>
      </c>
    </row>
    <row r="719" spans="5:5" x14ac:dyDescent="0.2">
      <c r="E719" t="s">
        <v>1206</v>
      </c>
    </row>
    <row r="720" spans="5:5" x14ac:dyDescent="0.2">
      <c r="E720" t="s">
        <v>1206</v>
      </c>
    </row>
    <row r="721" spans="5:5" x14ac:dyDescent="0.2">
      <c r="E721" t="s">
        <v>1206</v>
      </c>
    </row>
    <row r="722" spans="5:5" x14ac:dyDescent="0.2">
      <c r="E722" t="s">
        <v>1206</v>
      </c>
    </row>
    <row r="723" spans="5:5" x14ac:dyDescent="0.2">
      <c r="E723" t="s">
        <v>1206</v>
      </c>
    </row>
    <row r="724" spans="5:5" x14ac:dyDescent="0.2">
      <c r="E724" t="s">
        <v>1206</v>
      </c>
    </row>
    <row r="725" spans="5:5" x14ac:dyDescent="0.2">
      <c r="E725" t="s">
        <v>1206</v>
      </c>
    </row>
    <row r="726" spans="5:5" x14ac:dyDescent="0.2">
      <c r="E726" t="s">
        <v>1206</v>
      </c>
    </row>
    <row r="727" spans="5:5" x14ac:dyDescent="0.2">
      <c r="E727" t="s">
        <v>1206</v>
      </c>
    </row>
    <row r="728" spans="5:5" x14ac:dyDescent="0.2">
      <c r="E728" t="s">
        <v>1206</v>
      </c>
    </row>
    <row r="729" spans="5:5" x14ac:dyDescent="0.2">
      <c r="E729" t="s">
        <v>1206</v>
      </c>
    </row>
    <row r="730" spans="5:5" x14ac:dyDescent="0.2">
      <c r="E730" t="s">
        <v>1206</v>
      </c>
    </row>
    <row r="731" spans="5:5" x14ac:dyDescent="0.2">
      <c r="E731" t="s">
        <v>1206</v>
      </c>
    </row>
    <row r="732" spans="5:5" x14ac:dyDescent="0.2">
      <c r="E732" t="s">
        <v>1206</v>
      </c>
    </row>
    <row r="733" spans="5:5" x14ac:dyDescent="0.2">
      <c r="E733" t="s">
        <v>1206</v>
      </c>
    </row>
    <row r="734" spans="5:5" x14ac:dyDescent="0.2">
      <c r="E734" t="s">
        <v>1206</v>
      </c>
    </row>
    <row r="735" spans="5:5" x14ac:dyDescent="0.2">
      <c r="E735" t="s">
        <v>1206</v>
      </c>
    </row>
    <row r="736" spans="5:5" x14ac:dyDescent="0.2">
      <c r="E736" t="s">
        <v>1206</v>
      </c>
    </row>
    <row r="737" spans="5:5" x14ac:dyDescent="0.2">
      <c r="E737" t="s">
        <v>1206</v>
      </c>
    </row>
    <row r="738" spans="5:5" x14ac:dyDescent="0.2">
      <c r="E738" t="s">
        <v>1206</v>
      </c>
    </row>
    <row r="739" spans="5:5" x14ac:dyDescent="0.2">
      <c r="E739" t="s">
        <v>1206</v>
      </c>
    </row>
    <row r="740" spans="5:5" x14ac:dyDescent="0.2">
      <c r="E740" t="s">
        <v>1206</v>
      </c>
    </row>
    <row r="741" spans="5:5" x14ac:dyDescent="0.2">
      <c r="E741" t="s">
        <v>1206</v>
      </c>
    </row>
    <row r="742" spans="5:5" x14ac:dyDescent="0.2">
      <c r="E742" t="s">
        <v>1206</v>
      </c>
    </row>
    <row r="743" spans="5:5" x14ac:dyDescent="0.2">
      <c r="E743" t="s">
        <v>1206</v>
      </c>
    </row>
    <row r="744" spans="5:5" x14ac:dyDescent="0.2">
      <c r="E744" t="s">
        <v>1206</v>
      </c>
    </row>
    <row r="745" spans="5:5" x14ac:dyDescent="0.2">
      <c r="E745" t="s">
        <v>1206</v>
      </c>
    </row>
    <row r="746" spans="5:5" x14ac:dyDescent="0.2">
      <c r="E746" t="s">
        <v>1206</v>
      </c>
    </row>
    <row r="747" spans="5:5" x14ac:dyDescent="0.2">
      <c r="E747" t="s">
        <v>1206</v>
      </c>
    </row>
    <row r="748" spans="5:5" x14ac:dyDescent="0.2">
      <c r="E748" t="s">
        <v>1206</v>
      </c>
    </row>
    <row r="749" spans="5:5" x14ac:dyDescent="0.2">
      <c r="E749" t="s">
        <v>1206</v>
      </c>
    </row>
    <row r="750" spans="5:5" x14ac:dyDescent="0.2">
      <c r="E750" t="s">
        <v>1206</v>
      </c>
    </row>
    <row r="751" spans="5:5" x14ac:dyDescent="0.2">
      <c r="E751" t="s">
        <v>1206</v>
      </c>
    </row>
  </sheetData>
  <autoFilter ref="A1:AM751" xr:uid="{00000000-0009-0000-0000-000000000000}">
    <sortState xmlns:xlrd2="http://schemas.microsoft.com/office/spreadsheetml/2017/richdata2" ref="A2:AM698">
      <sortCondition ref="B2:B698"/>
      <sortCondition ref="C2:C698"/>
      <sortCondition ref="D2:D698"/>
    </sortState>
  </autoFilter>
  <sortState xmlns:xlrd2="http://schemas.microsoft.com/office/spreadsheetml/2017/richdata2" ref="A2:AK664">
    <sortCondition ref="B2:B664"/>
    <sortCondition ref="C2:C664"/>
    <sortCondition ref="D2:D664"/>
  </sortState>
  <printOptions gridLines="1"/>
  <pageMargins left="0.7" right="0.7" top="0.75" bottom="0.75" header="0.51180555555555496" footer="0.51180555555555496"/>
  <pageSetup firstPageNumber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B12"/>
  <sheetViews>
    <sheetView zoomScale="110" zoomScaleNormal="110" zoomScalePageLayoutView="110" workbookViewId="0">
      <selection activeCell="A14" sqref="A14"/>
    </sheetView>
  </sheetViews>
  <sheetFormatPr baseColWidth="10" defaultColWidth="9.1640625" defaultRowHeight="15" x14ac:dyDescent="0.2"/>
  <sheetData>
    <row r="1" spans="1:2" x14ac:dyDescent="0.2">
      <c r="A1" t="s">
        <v>2716</v>
      </c>
      <c r="B1" t="s">
        <v>2717</v>
      </c>
    </row>
    <row r="2" spans="1:2" x14ac:dyDescent="0.2">
      <c r="A2" t="s">
        <v>2718</v>
      </c>
      <c r="B2" t="s">
        <v>2719</v>
      </c>
    </row>
    <row r="3" spans="1:2" x14ac:dyDescent="0.2">
      <c r="A3" t="s">
        <v>2720</v>
      </c>
      <c r="B3" t="s">
        <v>2721</v>
      </c>
    </row>
    <row r="4" spans="1:2" x14ac:dyDescent="0.2">
      <c r="A4" t="s">
        <v>2722</v>
      </c>
      <c r="B4" t="s">
        <v>2723</v>
      </c>
    </row>
    <row r="5" spans="1:2" x14ac:dyDescent="0.2">
      <c r="A5" t="s">
        <v>2724</v>
      </c>
      <c r="B5" t="s">
        <v>2725</v>
      </c>
    </row>
    <row r="6" spans="1:2" x14ac:dyDescent="0.2">
      <c r="A6" t="s">
        <v>2726</v>
      </c>
      <c r="B6" t="s">
        <v>2727</v>
      </c>
    </row>
    <row r="8" spans="1:2" x14ac:dyDescent="0.2">
      <c r="A8" t="s">
        <v>2728</v>
      </c>
    </row>
    <row r="9" spans="1:2" x14ac:dyDescent="0.2">
      <c r="A9" t="s">
        <v>2729</v>
      </c>
    </row>
    <row r="10" spans="1:2" x14ac:dyDescent="0.2">
      <c r="A10" t="s">
        <v>2730</v>
      </c>
    </row>
    <row r="11" spans="1:2" x14ac:dyDescent="0.2">
      <c r="A11" t="s">
        <v>2731</v>
      </c>
    </row>
    <row r="12" spans="1:2" x14ac:dyDescent="0.2">
      <c r="A12" t="s">
        <v>2732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C14"/>
  <sheetViews>
    <sheetView zoomScale="110" zoomScaleNormal="110" zoomScalePageLayoutView="110" workbookViewId="0">
      <selection activeCell="C14" sqref="C14"/>
    </sheetView>
  </sheetViews>
  <sheetFormatPr baseColWidth="10" defaultColWidth="9.1640625" defaultRowHeight="15" x14ac:dyDescent="0.2"/>
  <cols>
    <col min="3" max="3" width="15.5" bestFit="1" customWidth="1"/>
  </cols>
  <sheetData>
    <row r="1" spans="1:3" x14ac:dyDescent="0.2">
      <c r="A1" s="1" t="s">
        <v>2733</v>
      </c>
      <c r="C1" s="1" t="s">
        <v>2734</v>
      </c>
    </row>
    <row r="2" spans="1:3" x14ac:dyDescent="0.2">
      <c r="A2" t="s">
        <v>2735</v>
      </c>
      <c r="B2" t="s">
        <v>2736</v>
      </c>
      <c r="C2" t="s">
        <v>2737</v>
      </c>
    </row>
    <row r="3" spans="1:3" x14ac:dyDescent="0.2">
      <c r="A3" t="s">
        <v>2738</v>
      </c>
      <c r="B3" t="s">
        <v>2739</v>
      </c>
      <c r="C3" t="s">
        <v>2740</v>
      </c>
    </row>
    <row r="4" spans="1:3" x14ac:dyDescent="0.2">
      <c r="A4" t="s">
        <v>2741</v>
      </c>
      <c r="B4" t="s">
        <v>2742</v>
      </c>
      <c r="C4" t="s">
        <v>2743</v>
      </c>
    </row>
    <row r="5" spans="1:3" x14ac:dyDescent="0.2">
      <c r="A5" t="s">
        <v>2744</v>
      </c>
      <c r="B5" t="s">
        <v>2745</v>
      </c>
      <c r="C5" t="s">
        <v>81</v>
      </c>
    </row>
    <row r="6" spans="1:3" x14ac:dyDescent="0.2">
      <c r="A6" t="s">
        <v>64</v>
      </c>
      <c r="B6" t="s">
        <v>2746</v>
      </c>
      <c r="C6" t="s">
        <v>117</v>
      </c>
    </row>
    <row r="7" spans="1:3" x14ac:dyDescent="0.2">
      <c r="C7" t="s">
        <v>2747</v>
      </c>
    </row>
    <row r="8" spans="1:3" x14ac:dyDescent="0.2">
      <c r="C8" t="s">
        <v>2748</v>
      </c>
    </row>
    <row r="9" spans="1:3" x14ac:dyDescent="0.2">
      <c r="C9" t="s">
        <v>44</v>
      </c>
    </row>
    <row r="10" spans="1:3" x14ac:dyDescent="0.2">
      <c r="C10" t="s">
        <v>958</v>
      </c>
    </row>
    <row r="11" spans="1:3" x14ac:dyDescent="0.2">
      <c r="C11" t="s">
        <v>279</v>
      </c>
    </row>
    <row r="12" spans="1:3" x14ac:dyDescent="0.2">
      <c r="C12" t="s">
        <v>63</v>
      </c>
    </row>
    <row r="13" spans="1:3" x14ac:dyDescent="0.2">
      <c r="C13" t="s">
        <v>988</v>
      </c>
    </row>
    <row r="14" spans="1:3" x14ac:dyDescent="0.2">
      <c r="C14" t="s">
        <v>2749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Notes</vt:lpstr>
      <vt:lpstr>Traits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Holl</dc:creator>
  <cp:keywords/>
  <dc:description/>
  <cp:lastModifiedBy>Leland Werden</cp:lastModifiedBy>
  <cp:revision>0</cp:revision>
  <dcterms:created xsi:type="dcterms:W3CDTF">2014-05-06T15:40:31Z</dcterms:created>
  <dcterms:modified xsi:type="dcterms:W3CDTF">2026-04-30T14:37:27Z</dcterms:modified>
  <cp:category/>
  <cp:contentStatus/>
</cp:coreProperties>
</file>